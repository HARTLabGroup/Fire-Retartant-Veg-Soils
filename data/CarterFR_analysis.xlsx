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revo\Dropbox\My PC (LAPTOP-GI7LHD15)\Documents\GitHub\Fire-Retartand-Veg-Soils\data\"/>
    </mc:Choice>
  </mc:AlternateContent>
  <xr:revisionPtr revIDLastSave="0" documentId="13_ncr:1_{DA137668-9C29-40C6-A823-9ED0E54D6230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Raw Data" sheetId="1" r:id="rId1"/>
    <sheet name="Data for R_mgL" sheetId="3" r:id="rId2"/>
    <sheet name="Data for R_mgg" sheetId="2" r:id="rId3"/>
  </sheets>
  <definedNames>
    <definedName name="_xlnm._FilterDatabase" localSheetId="0" hidden="1">'Raw Data'!$A$5:$AS$114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+Me/YLRqu7jv7Qn3cnu5a6ZyusnSrEAYGu8N7zXOznE="/>
    </ext>
  </extLst>
</workbook>
</file>

<file path=xl/calcChain.xml><?xml version="1.0" encoding="utf-8"?>
<calcChain xmlns="http://schemas.openxmlformats.org/spreadsheetml/2006/main">
  <c r="AH6" i="1" l="1"/>
  <c r="AJ12" i="1"/>
  <c r="N114" i="1" l="1"/>
  <c r="P114" i="1" s="1"/>
  <c r="N113" i="1"/>
  <c r="O113" i="1" s="1"/>
  <c r="N112" i="1"/>
  <c r="P112" i="1" s="1"/>
  <c r="S112" i="1" s="1"/>
  <c r="AL112" i="1" s="1"/>
  <c r="N111" i="1"/>
  <c r="P111" i="1" s="1"/>
  <c r="N110" i="1"/>
  <c r="O110" i="1" s="1"/>
  <c r="N109" i="1"/>
  <c r="P109" i="1" s="1"/>
  <c r="S109" i="1" s="1"/>
  <c r="AL109" i="1" s="1"/>
  <c r="N108" i="1"/>
  <c r="P108" i="1" s="1"/>
  <c r="N107" i="1"/>
  <c r="O107" i="1" s="1"/>
  <c r="N106" i="1"/>
  <c r="P106" i="1" s="1"/>
  <c r="S106" i="1" s="1"/>
  <c r="AL106" i="1" s="1"/>
  <c r="N105" i="1"/>
  <c r="P105" i="1" s="1"/>
  <c r="N104" i="1"/>
  <c r="O104" i="1" s="1"/>
  <c r="N102" i="1"/>
  <c r="P102" i="1" s="1"/>
  <c r="S102" i="1" s="1"/>
  <c r="AL102" i="1" s="1"/>
  <c r="N101" i="1"/>
  <c r="P101" i="1" s="1"/>
  <c r="N100" i="1"/>
  <c r="O100" i="1" s="1"/>
  <c r="N99" i="1"/>
  <c r="P99" i="1" s="1"/>
  <c r="S99" i="1" s="1"/>
  <c r="N98" i="1"/>
  <c r="P98" i="1" s="1"/>
  <c r="N97" i="1"/>
  <c r="O97" i="1" s="1"/>
  <c r="N96" i="1"/>
  <c r="P96" i="1" s="1"/>
  <c r="N95" i="1"/>
  <c r="P95" i="1" s="1"/>
  <c r="N94" i="1"/>
  <c r="O94" i="1" s="1"/>
  <c r="N93" i="1"/>
  <c r="P93" i="1" s="1"/>
  <c r="S93" i="1" s="1"/>
  <c r="AL93" i="1" s="1"/>
  <c r="N92" i="1"/>
  <c r="P92" i="1" s="1"/>
  <c r="N91" i="1"/>
  <c r="O91" i="1" s="1"/>
  <c r="N90" i="1"/>
  <c r="P90" i="1" s="1"/>
  <c r="S90" i="1" s="1"/>
  <c r="AR90" i="1" s="1"/>
  <c r="N89" i="1"/>
  <c r="P89" i="1" s="1"/>
  <c r="N88" i="1"/>
  <c r="O88" i="1" s="1"/>
  <c r="N87" i="1"/>
  <c r="P87" i="1" s="1"/>
  <c r="S87" i="1" s="1"/>
  <c r="AR87" i="1" s="1"/>
  <c r="N86" i="1"/>
  <c r="P86" i="1" s="1"/>
  <c r="N85" i="1"/>
  <c r="O85" i="1" s="1"/>
  <c r="N84" i="1"/>
  <c r="P84" i="1" s="1"/>
  <c r="S84" i="1" s="1"/>
  <c r="AL84" i="1" s="1"/>
  <c r="N83" i="1"/>
  <c r="P83" i="1" s="1"/>
  <c r="N82" i="1"/>
  <c r="N81" i="1"/>
  <c r="P81" i="1" s="1"/>
  <c r="Q81" i="1" s="1"/>
  <c r="N80" i="1"/>
  <c r="O80" i="1" s="1"/>
  <c r="N79" i="1"/>
  <c r="N78" i="1"/>
  <c r="O78" i="1" s="1"/>
  <c r="N77" i="1"/>
  <c r="O77" i="1" s="1"/>
  <c r="N76" i="1"/>
  <c r="N75" i="1"/>
  <c r="O75" i="1" s="1"/>
  <c r="N74" i="1"/>
  <c r="O74" i="1" s="1"/>
  <c r="N73" i="1"/>
  <c r="N72" i="1"/>
  <c r="O72" i="1" s="1"/>
  <c r="N64" i="1"/>
  <c r="O64" i="1" s="1"/>
  <c r="N63" i="1"/>
  <c r="N62" i="1"/>
  <c r="O62" i="1" s="1"/>
  <c r="N61" i="1"/>
  <c r="O61" i="1" s="1"/>
  <c r="N60" i="1"/>
  <c r="N59" i="1"/>
  <c r="O59" i="1" s="1"/>
  <c r="N49" i="1"/>
  <c r="O49" i="1" s="1"/>
  <c r="N48" i="1"/>
  <c r="N47" i="1"/>
  <c r="P47" i="1" s="1"/>
  <c r="Q47" i="1" s="1"/>
  <c r="N46" i="1"/>
  <c r="O46" i="1" s="1"/>
  <c r="N45" i="1"/>
  <c r="N44" i="1"/>
  <c r="O44" i="1" s="1"/>
  <c r="N43" i="1"/>
  <c r="O43" i="1" s="1"/>
  <c r="N42" i="1"/>
  <c r="N41" i="1"/>
  <c r="P41" i="1" s="1"/>
  <c r="Q41" i="1" s="1"/>
  <c r="N40" i="1"/>
  <c r="O40" i="1" s="1"/>
  <c r="N39" i="1"/>
  <c r="N38" i="1"/>
  <c r="P38" i="1" s="1"/>
  <c r="Q38" i="1" s="1"/>
  <c r="N37" i="1"/>
  <c r="O37" i="1" s="1"/>
  <c r="N36" i="1"/>
  <c r="N35" i="1"/>
  <c r="O35" i="1" s="1"/>
  <c r="N34" i="1"/>
  <c r="O34" i="1" s="1"/>
  <c r="N33" i="1"/>
  <c r="N32" i="1"/>
  <c r="P32" i="1" s="1"/>
  <c r="Q32" i="1" s="1"/>
  <c r="N71" i="1"/>
  <c r="O71" i="1" s="1"/>
  <c r="N70" i="1"/>
  <c r="N69" i="1"/>
  <c r="P69" i="1" s="1"/>
  <c r="Q69" i="1" s="1"/>
  <c r="N68" i="1"/>
  <c r="O68" i="1" s="1"/>
  <c r="N67" i="1"/>
  <c r="N66" i="1"/>
  <c r="P66" i="1" s="1"/>
  <c r="Q66" i="1" s="1"/>
  <c r="N65" i="1"/>
  <c r="O65" i="1" s="1"/>
  <c r="N58" i="1"/>
  <c r="N57" i="1"/>
  <c r="P57" i="1" s="1"/>
  <c r="Q57" i="1" s="1"/>
  <c r="N56" i="1"/>
  <c r="O56" i="1" s="1"/>
  <c r="N55" i="1"/>
  <c r="N54" i="1"/>
  <c r="P54" i="1" s="1"/>
  <c r="Q54" i="1" s="1"/>
  <c r="N53" i="1"/>
  <c r="O53" i="1" s="1"/>
  <c r="N52" i="1"/>
  <c r="N51" i="1"/>
  <c r="P51" i="1" s="1"/>
  <c r="Q51" i="1" s="1"/>
  <c r="N50" i="1"/>
  <c r="O50" i="1" s="1"/>
  <c r="N31" i="1"/>
  <c r="N30" i="1"/>
  <c r="P30" i="1" s="1"/>
  <c r="Q30" i="1" s="1"/>
  <c r="N29" i="1"/>
  <c r="O29" i="1" s="1"/>
  <c r="N28" i="1"/>
  <c r="N27" i="1"/>
  <c r="P27" i="1" s="1"/>
  <c r="Q27" i="1" s="1"/>
  <c r="N26" i="1"/>
  <c r="O26" i="1" s="1"/>
  <c r="N25" i="1"/>
  <c r="P25" i="1" s="1"/>
  <c r="N24" i="1"/>
  <c r="P24" i="1" s="1"/>
  <c r="N23" i="1"/>
  <c r="O23" i="1" s="1"/>
  <c r="N22" i="1"/>
  <c r="P22" i="1" s="1"/>
  <c r="N21" i="1"/>
  <c r="P21" i="1" s="1"/>
  <c r="N20" i="1"/>
  <c r="O20" i="1" s="1"/>
  <c r="N19" i="1"/>
  <c r="P19" i="1" s="1"/>
  <c r="N18" i="1"/>
  <c r="P18" i="1" s="1"/>
  <c r="N17" i="1"/>
  <c r="O17" i="1" s="1"/>
  <c r="N16" i="1"/>
  <c r="P16" i="1" s="1"/>
  <c r="N15" i="1"/>
  <c r="P15" i="1" s="1"/>
  <c r="N14" i="1"/>
  <c r="O14" i="1" s="1"/>
  <c r="N13" i="1"/>
  <c r="P13" i="1" s="1"/>
  <c r="N12" i="1"/>
  <c r="P12" i="1" s="1"/>
  <c r="N11" i="1"/>
  <c r="O11" i="1" s="1"/>
  <c r="N10" i="1"/>
  <c r="P10" i="1" s="1"/>
  <c r="N9" i="1"/>
  <c r="P9" i="1" s="1"/>
  <c r="N8" i="1"/>
  <c r="O8" i="1" s="1"/>
  <c r="N7" i="1"/>
  <c r="P7" i="1" s="1"/>
  <c r="N6" i="1"/>
  <c r="P6" i="1" s="1"/>
  <c r="Q99" i="1" l="1"/>
  <c r="P49" i="1"/>
  <c r="Q49" i="1" s="1"/>
  <c r="O81" i="1"/>
  <c r="O101" i="1"/>
  <c r="P72" i="1"/>
  <c r="Q72" i="1" s="1"/>
  <c r="O6" i="1"/>
  <c r="P50" i="1"/>
  <c r="S50" i="1" s="1"/>
  <c r="P29" i="1"/>
  <c r="S29" i="1" s="1"/>
  <c r="O41" i="1"/>
  <c r="Q90" i="1"/>
  <c r="P104" i="1"/>
  <c r="S104" i="1" s="1"/>
  <c r="AH104" i="1" s="1"/>
  <c r="P110" i="1"/>
  <c r="S110" i="1" s="1"/>
  <c r="AM110" i="1" s="1"/>
  <c r="O9" i="1"/>
  <c r="P20" i="1"/>
  <c r="S20" i="1" s="1"/>
  <c r="AH20" i="1" s="1"/>
  <c r="AL90" i="1"/>
  <c r="O95" i="1"/>
  <c r="S57" i="1"/>
  <c r="AH57" i="1" s="1"/>
  <c r="P34" i="1"/>
  <c r="S34" i="1" s="1"/>
  <c r="O38" i="1"/>
  <c r="P74" i="1"/>
  <c r="S74" i="1" s="1"/>
  <c r="Q87" i="1"/>
  <c r="AR93" i="1"/>
  <c r="O12" i="1"/>
  <c r="O21" i="1"/>
  <c r="P53" i="1"/>
  <c r="S53" i="1" s="1"/>
  <c r="O47" i="1"/>
  <c r="P59" i="1"/>
  <c r="Q59" i="1" s="1"/>
  <c r="O83" i="1"/>
  <c r="P75" i="1"/>
  <c r="Q75" i="1" s="1"/>
  <c r="P14" i="1"/>
  <c r="S14" i="1" s="1"/>
  <c r="AN14" i="1" s="1"/>
  <c r="P23" i="1"/>
  <c r="S23" i="1" s="1"/>
  <c r="AP23" i="1" s="1"/>
  <c r="P37" i="1"/>
  <c r="S37" i="1" s="1"/>
  <c r="O92" i="1"/>
  <c r="O15" i="1"/>
  <c r="P26" i="1"/>
  <c r="S26" i="1" s="1"/>
  <c r="AM26" i="1" s="1"/>
  <c r="O30" i="1"/>
  <c r="P56" i="1"/>
  <c r="S56" i="1" s="1"/>
  <c r="S69" i="1"/>
  <c r="AR69" i="1" s="1"/>
  <c r="S38" i="1"/>
  <c r="AH38" i="1" s="1"/>
  <c r="S41" i="1"/>
  <c r="AN41" i="1" s="1"/>
  <c r="P44" i="1"/>
  <c r="P62" i="1"/>
  <c r="P78" i="1"/>
  <c r="O86" i="1"/>
  <c r="O89" i="1"/>
  <c r="O108" i="1"/>
  <c r="O111" i="1"/>
  <c r="P68" i="1"/>
  <c r="S68" i="1" s="1"/>
  <c r="P35" i="1"/>
  <c r="P11" i="1"/>
  <c r="S11" i="1" s="1"/>
  <c r="AO11" i="1" s="1"/>
  <c r="O18" i="1"/>
  <c r="S30" i="1"/>
  <c r="AH30" i="1" s="1"/>
  <c r="P17" i="1"/>
  <c r="S17" i="1" s="1"/>
  <c r="AO17" i="1" s="1"/>
  <c r="O24" i="1"/>
  <c r="P71" i="1"/>
  <c r="S71" i="1" s="1"/>
  <c r="P43" i="1"/>
  <c r="S43" i="1" s="1"/>
  <c r="S47" i="1"/>
  <c r="AM47" i="1" s="1"/>
  <c r="P61" i="1"/>
  <c r="S61" i="1" s="1"/>
  <c r="S72" i="1"/>
  <c r="AM72" i="1" s="1"/>
  <c r="P77" i="1"/>
  <c r="S77" i="1" s="1"/>
  <c r="S81" i="1"/>
  <c r="AM81" i="1" s="1"/>
  <c r="P107" i="1"/>
  <c r="S107" i="1" s="1"/>
  <c r="AH107" i="1" s="1"/>
  <c r="P65" i="1"/>
  <c r="Q65" i="1" s="1"/>
  <c r="P46" i="1"/>
  <c r="S46" i="1" s="1"/>
  <c r="P64" i="1"/>
  <c r="S64" i="1" s="1"/>
  <c r="S75" i="1"/>
  <c r="AM75" i="1" s="1"/>
  <c r="P80" i="1"/>
  <c r="S80" i="1" s="1"/>
  <c r="O98" i="1"/>
  <c r="O105" i="1"/>
  <c r="O114" i="1"/>
  <c r="Q12" i="1"/>
  <c r="S12" i="1"/>
  <c r="S19" i="1"/>
  <c r="Q19" i="1"/>
  <c r="Q9" i="1"/>
  <c r="S9" i="1"/>
  <c r="S16" i="1"/>
  <c r="Q16" i="1"/>
  <c r="S13" i="1"/>
  <c r="Q13" i="1"/>
  <c r="AP20" i="1"/>
  <c r="Q24" i="1"/>
  <c r="S24" i="1"/>
  <c r="Q10" i="1"/>
  <c r="S10" i="1"/>
  <c r="Q18" i="1"/>
  <c r="S18" i="1"/>
  <c r="S25" i="1"/>
  <c r="Q25" i="1"/>
  <c r="Q6" i="1"/>
  <c r="S6" i="1"/>
  <c r="Q7" i="1"/>
  <c r="S7" i="1"/>
  <c r="Q21" i="1"/>
  <c r="S21" i="1"/>
  <c r="Q15" i="1"/>
  <c r="S15" i="1"/>
  <c r="S22" i="1"/>
  <c r="Q22" i="1"/>
  <c r="AI57" i="1"/>
  <c r="AQ57" i="1"/>
  <c r="P67" i="1"/>
  <c r="O67" i="1"/>
  <c r="P42" i="1"/>
  <c r="O42" i="1"/>
  <c r="P8" i="1"/>
  <c r="P28" i="1"/>
  <c r="O28" i="1"/>
  <c r="P33" i="1"/>
  <c r="O33" i="1"/>
  <c r="P36" i="1"/>
  <c r="O36" i="1"/>
  <c r="P39" i="1"/>
  <c r="O39" i="1"/>
  <c r="O7" i="1"/>
  <c r="O10" i="1"/>
  <c r="O13" i="1"/>
  <c r="O16" i="1"/>
  <c r="O19" i="1"/>
  <c r="O22" i="1"/>
  <c r="O25" i="1"/>
  <c r="S51" i="1"/>
  <c r="P55" i="1"/>
  <c r="O55" i="1"/>
  <c r="S66" i="1"/>
  <c r="Q101" i="1"/>
  <c r="S101" i="1"/>
  <c r="P70" i="1"/>
  <c r="O70" i="1"/>
  <c r="P52" i="1"/>
  <c r="O52" i="1"/>
  <c r="S27" i="1"/>
  <c r="S32" i="1"/>
  <c r="Q37" i="1"/>
  <c r="P31" i="1"/>
  <c r="O31" i="1"/>
  <c r="S54" i="1"/>
  <c r="P58" i="1"/>
  <c r="O58" i="1"/>
  <c r="O27" i="1"/>
  <c r="O51" i="1"/>
  <c r="O54" i="1"/>
  <c r="O57" i="1"/>
  <c r="O66" i="1"/>
  <c r="O69" i="1"/>
  <c r="O32" i="1"/>
  <c r="P45" i="1"/>
  <c r="O45" i="1"/>
  <c r="P48" i="1"/>
  <c r="O48" i="1"/>
  <c r="P60" i="1"/>
  <c r="O60" i="1"/>
  <c r="P63" i="1"/>
  <c r="O63" i="1"/>
  <c r="P73" i="1"/>
  <c r="O73" i="1"/>
  <c r="P76" i="1"/>
  <c r="O76" i="1"/>
  <c r="P79" i="1"/>
  <c r="O79" i="1"/>
  <c r="P82" i="1"/>
  <c r="O82" i="1"/>
  <c r="S96" i="1"/>
  <c r="Q96" i="1"/>
  <c r="Q83" i="1"/>
  <c r="S83" i="1"/>
  <c r="Q105" i="1"/>
  <c r="S105" i="1"/>
  <c r="P40" i="1"/>
  <c r="S49" i="1"/>
  <c r="Q108" i="1"/>
  <c r="S108" i="1"/>
  <c r="Q111" i="1"/>
  <c r="S111" i="1"/>
  <c r="AN87" i="1"/>
  <c r="AH87" i="1"/>
  <c r="AM87" i="1"/>
  <c r="AQ87" i="1"/>
  <c r="AK87" i="1"/>
  <c r="AP87" i="1"/>
  <c r="AJ87" i="1"/>
  <c r="AO87" i="1"/>
  <c r="AI87" i="1"/>
  <c r="Q92" i="1"/>
  <c r="S92" i="1"/>
  <c r="AN84" i="1"/>
  <c r="AH84" i="1"/>
  <c r="AM84" i="1"/>
  <c r="AQ84" i="1"/>
  <c r="AK84" i="1"/>
  <c r="AP84" i="1"/>
  <c r="AJ84" i="1"/>
  <c r="AO84" i="1"/>
  <c r="AI84" i="1"/>
  <c r="Q89" i="1"/>
  <c r="S89" i="1"/>
  <c r="AN102" i="1"/>
  <c r="AH102" i="1"/>
  <c r="AM102" i="1"/>
  <c r="AQ102" i="1"/>
  <c r="AK102" i="1"/>
  <c r="AP102" i="1"/>
  <c r="AJ102" i="1"/>
  <c r="AO102" i="1"/>
  <c r="AI102" i="1"/>
  <c r="AN106" i="1"/>
  <c r="AH106" i="1"/>
  <c r="AM106" i="1"/>
  <c r="AQ106" i="1"/>
  <c r="AK106" i="1"/>
  <c r="AP106" i="1"/>
  <c r="AJ106" i="1"/>
  <c r="AO106" i="1"/>
  <c r="AI106" i="1"/>
  <c r="AN109" i="1"/>
  <c r="AH109" i="1"/>
  <c r="AM109" i="1"/>
  <c r="AQ109" i="1"/>
  <c r="AK109" i="1"/>
  <c r="AP109" i="1"/>
  <c r="AJ109" i="1"/>
  <c r="AO109" i="1"/>
  <c r="AI109" i="1"/>
  <c r="AN112" i="1"/>
  <c r="AH112" i="1"/>
  <c r="AM112" i="1"/>
  <c r="AQ112" i="1"/>
  <c r="AK112" i="1"/>
  <c r="AP112" i="1"/>
  <c r="AJ112" i="1"/>
  <c r="AO112" i="1"/>
  <c r="AI112" i="1"/>
  <c r="Q84" i="1"/>
  <c r="Q86" i="1"/>
  <c r="S86" i="1"/>
  <c r="AL87" i="1"/>
  <c r="AN99" i="1"/>
  <c r="AH99" i="1"/>
  <c r="AM99" i="1"/>
  <c r="AQ99" i="1"/>
  <c r="AK99" i="1"/>
  <c r="AP99" i="1"/>
  <c r="AJ99" i="1"/>
  <c r="AO99" i="1"/>
  <c r="AI99" i="1"/>
  <c r="Q102" i="1"/>
  <c r="Q106" i="1"/>
  <c r="Q109" i="1"/>
  <c r="Q112" i="1"/>
  <c r="Q114" i="1"/>
  <c r="S114" i="1"/>
  <c r="AR84" i="1"/>
  <c r="AN93" i="1"/>
  <c r="AH93" i="1"/>
  <c r="AM93" i="1"/>
  <c r="AQ93" i="1"/>
  <c r="AK93" i="1"/>
  <c r="AP93" i="1"/>
  <c r="AJ93" i="1"/>
  <c r="AO93" i="1"/>
  <c r="AI93" i="1"/>
  <c r="Q98" i="1"/>
  <c r="S98" i="1"/>
  <c r="AL99" i="1"/>
  <c r="AR102" i="1"/>
  <c r="AR106" i="1"/>
  <c r="AR109" i="1"/>
  <c r="AR112" i="1"/>
  <c r="AN90" i="1"/>
  <c r="AH90" i="1"/>
  <c r="AM90" i="1"/>
  <c r="AQ90" i="1"/>
  <c r="AK90" i="1"/>
  <c r="AP90" i="1"/>
  <c r="AJ90" i="1"/>
  <c r="AO90" i="1"/>
  <c r="AI90" i="1"/>
  <c r="Q93" i="1"/>
  <c r="Q95" i="1"/>
  <c r="S95" i="1"/>
  <c r="AR99" i="1"/>
  <c r="P85" i="1"/>
  <c r="P88" i="1"/>
  <c r="P91" i="1"/>
  <c r="P94" i="1"/>
  <c r="P97" i="1"/>
  <c r="P100" i="1"/>
  <c r="P113" i="1"/>
  <c r="O84" i="1"/>
  <c r="O87" i="1"/>
  <c r="O90" i="1"/>
  <c r="O93" i="1"/>
  <c r="O96" i="1"/>
  <c r="O99" i="1"/>
  <c r="O102" i="1"/>
  <c r="O106" i="1"/>
  <c r="O109" i="1"/>
  <c r="O112" i="1"/>
  <c r="AL11" i="1" l="1"/>
  <c r="Q104" i="1"/>
  <c r="Q64" i="1"/>
  <c r="AO104" i="1"/>
  <c r="AK104" i="1"/>
  <c r="AJ72" i="1"/>
  <c r="AQ104" i="1"/>
  <c r="AH72" i="1"/>
  <c r="AK57" i="1"/>
  <c r="AI104" i="1"/>
  <c r="AP75" i="1"/>
  <c r="AM57" i="1"/>
  <c r="Q26" i="1"/>
  <c r="AN57" i="1"/>
  <c r="AK17" i="1"/>
  <c r="AI17" i="1"/>
  <c r="AJ104" i="1"/>
  <c r="AL72" i="1"/>
  <c r="AO57" i="1"/>
  <c r="AN17" i="1"/>
  <c r="AR72" i="1"/>
  <c r="AK47" i="1"/>
  <c r="AI38" i="1"/>
  <c r="AP57" i="1"/>
  <c r="AN110" i="1"/>
  <c r="AL57" i="1"/>
  <c r="AJ17" i="1"/>
  <c r="AN26" i="1"/>
  <c r="AL104" i="1"/>
  <c r="AP104" i="1"/>
  <c r="AP72" i="1"/>
  <c r="AN72" i="1"/>
  <c r="AR104" i="1"/>
  <c r="AK72" i="1"/>
  <c r="AI72" i="1"/>
  <c r="AR57" i="1"/>
  <c r="AQ26" i="1"/>
  <c r="AN104" i="1"/>
  <c r="AM104" i="1"/>
  <c r="AQ72" i="1"/>
  <c r="AO72" i="1"/>
  <c r="Q17" i="1"/>
  <c r="AJ57" i="1"/>
  <c r="AI110" i="1"/>
  <c r="AR14" i="1"/>
  <c r="AL17" i="1"/>
  <c r="AJ26" i="1"/>
  <c r="AM17" i="1"/>
  <c r="AJ14" i="1"/>
  <c r="AK110" i="1"/>
  <c r="AI41" i="1"/>
  <c r="AO110" i="1"/>
  <c r="AN30" i="1"/>
  <c r="AP14" i="1"/>
  <c r="AH75" i="1"/>
  <c r="AN75" i="1"/>
  <c r="Q68" i="1"/>
  <c r="AJ75" i="1"/>
  <c r="AL14" i="1"/>
  <c r="AH17" i="1"/>
  <c r="AQ110" i="1"/>
  <c r="AJ110" i="1"/>
  <c r="AK75" i="1"/>
  <c r="AI75" i="1"/>
  <c r="Q34" i="1"/>
  <c r="Q14" i="1"/>
  <c r="AM14" i="1"/>
  <c r="AL110" i="1"/>
  <c r="AP110" i="1"/>
  <c r="AQ75" i="1"/>
  <c r="AO75" i="1"/>
  <c r="AK14" i="1"/>
  <c r="AI14" i="1"/>
  <c r="Q110" i="1"/>
  <c r="AH110" i="1"/>
  <c r="AR110" i="1"/>
  <c r="Q77" i="1"/>
  <c r="AL75" i="1"/>
  <c r="AQ14" i="1"/>
  <c r="AO14" i="1"/>
  <c r="AR75" i="1"/>
  <c r="AH14" i="1"/>
  <c r="AL23" i="1"/>
  <c r="AO26" i="1"/>
  <c r="AQ81" i="1"/>
  <c r="AR17" i="1"/>
  <c r="AP17" i="1"/>
  <c r="AP26" i="1"/>
  <c r="AH26" i="1"/>
  <c r="Q23" i="1"/>
  <c r="AK81" i="1"/>
  <c r="AI81" i="1"/>
  <c r="Q71" i="1"/>
  <c r="AQ17" i="1"/>
  <c r="AM23" i="1"/>
  <c r="AK26" i="1"/>
  <c r="AL26" i="1"/>
  <c r="AO81" i="1"/>
  <c r="AJ41" i="1"/>
  <c r="AP30" i="1"/>
  <c r="AN11" i="1"/>
  <c r="AR107" i="1"/>
  <c r="AL81" i="1"/>
  <c r="Q80" i="1"/>
  <c r="Q53" i="1"/>
  <c r="AJ69" i="1"/>
  <c r="AJ11" i="1"/>
  <c r="AI23" i="1"/>
  <c r="AP107" i="1"/>
  <c r="AR81" i="1"/>
  <c r="Q50" i="1"/>
  <c r="Q20" i="1"/>
  <c r="Q11" i="1"/>
  <c r="AP69" i="1"/>
  <c r="AL20" i="1"/>
  <c r="AK23" i="1"/>
  <c r="AO23" i="1"/>
  <c r="AL107" i="1"/>
  <c r="AJ81" i="1"/>
  <c r="AH81" i="1"/>
  <c r="Q74" i="1"/>
  <c r="Q56" i="1"/>
  <c r="AH69" i="1"/>
  <c r="AR20" i="1"/>
  <c r="AQ23" i="1"/>
  <c r="AH23" i="1"/>
  <c r="AP81" i="1"/>
  <c r="AN81" i="1"/>
  <c r="Q29" i="1"/>
  <c r="AN69" i="1"/>
  <c r="AH11" i="1"/>
  <c r="AJ20" i="1"/>
  <c r="AN23" i="1"/>
  <c r="AR26" i="1"/>
  <c r="AN107" i="1"/>
  <c r="AM107" i="1"/>
  <c r="AI47" i="1"/>
  <c r="AM69" i="1"/>
  <c r="AK69" i="1"/>
  <c r="AI69" i="1"/>
  <c r="AR11" i="1"/>
  <c r="AP11" i="1"/>
  <c r="AM20" i="1"/>
  <c r="AI107" i="1"/>
  <c r="Q43" i="1"/>
  <c r="AP38" i="1"/>
  <c r="AQ69" i="1"/>
  <c r="AO69" i="1"/>
  <c r="AM11" i="1"/>
  <c r="AK20" i="1"/>
  <c r="AI20" i="1"/>
  <c r="Q107" i="1"/>
  <c r="AK107" i="1"/>
  <c r="AO107" i="1"/>
  <c r="AK38" i="1"/>
  <c r="AL69" i="1"/>
  <c r="AK11" i="1"/>
  <c r="AI11" i="1"/>
  <c r="AQ20" i="1"/>
  <c r="AO20" i="1"/>
  <c r="AN47" i="1"/>
  <c r="AQ107" i="1"/>
  <c r="AJ107" i="1"/>
  <c r="AP47" i="1"/>
  <c r="AM38" i="1"/>
  <c r="AN38" i="1"/>
  <c r="S65" i="1"/>
  <c r="AP65" i="1" s="1"/>
  <c r="AQ11" i="1"/>
  <c r="AN20" i="1"/>
  <c r="AO41" i="1"/>
  <c r="AI30" i="1"/>
  <c r="AQ47" i="1"/>
  <c r="AO47" i="1"/>
  <c r="AQ38" i="1"/>
  <c r="AO38" i="1"/>
  <c r="AL41" i="1"/>
  <c r="AQ30" i="1"/>
  <c r="AO30" i="1"/>
  <c r="Q61" i="1"/>
  <c r="AL47" i="1"/>
  <c r="Q46" i="1"/>
  <c r="AL38" i="1"/>
  <c r="AM30" i="1"/>
  <c r="AM41" i="1"/>
  <c r="AR41" i="1"/>
  <c r="AL30" i="1"/>
  <c r="AK41" i="1"/>
  <c r="AK30" i="1"/>
  <c r="AR47" i="1"/>
  <c r="AR38" i="1"/>
  <c r="AP41" i="1"/>
  <c r="AH41" i="1"/>
  <c r="AR30" i="1"/>
  <c r="AJ23" i="1"/>
  <c r="AJ47" i="1"/>
  <c r="AH47" i="1"/>
  <c r="AJ38" i="1"/>
  <c r="AQ41" i="1"/>
  <c r="AJ30" i="1"/>
  <c r="AR23" i="1"/>
  <c r="S59" i="1"/>
  <c r="Q35" i="1"/>
  <c r="S35" i="1"/>
  <c r="Q78" i="1"/>
  <c r="S78" i="1"/>
  <c r="Q62" i="1"/>
  <c r="S62" i="1"/>
  <c r="Q44" i="1"/>
  <c r="S44" i="1"/>
  <c r="AI26" i="1"/>
  <c r="S91" i="1"/>
  <c r="Q91" i="1"/>
  <c r="AM80" i="1"/>
  <c r="AR80" i="1"/>
  <c r="AL80" i="1"/>
  <c r="AP80" i="1"/>
  <c r="AJ80" i="1"/>
  <c r="AO80" i="1"/>
  <c r="AI80" i="1"/>
  <c r="AN80" i="1"/>
  <c r="AH80" i="1"/>
  <c r="AQ80" i="1"/>
  <c r="AK80" i="1"/>
  <c r="AM77" i="1"/>
  <c r="AR77" i="1"/>
  <c r="AL77" i="1"/>
  <c r="AP77" i="1"/>
  <c r="AJ77" i="1"/>
  <c r="AO77" i="1"/>
  <c r="AI77" i="1"/>
  <c r="AN77" i="1"/>
  <c r="AH77" i="1"/>
  <c r="AQ77" i="1"/>
  <c r="AK77" i="1"/>
  <c r="AM74" i="1"/>
  <c r="AR74" i="1"/>
  <c r="AL74" i="1"/>
  <c r="AP74" i="1"/>
  <c r="AJ74" i="1"/>
  <c r="AO74" i="1"/>
  <c r="AI74" i="1"/>
  <c r="AN74" i="1"/>
  <c r="AH74" i="1"/>
  <c r="AQ74" i="1"/>
  <c r="AK74" i="1"/>
  <c r="AM64" i="1"/>
  <c r="AR64" i="1"/>
  <c r="AL64" i="1"/>
  <c r="AP64" i="1"/>
  <c r="AJ64" i="1"/>
  <c r="AO64" i="1"/>
  <c r="AI64" i="1"/>
  <c r="AN64" i="1"/>
  <c r="AH64" i="1"/>
  <c r="AQ64" i="1"/>
  <c r="AK64" i="1"/>
  <c r="AM61" i="1"/>
  <c r="AR61" i="1"/>
  <c r="AL61" i="1"/>
  <c r="AP61" i="1"/>
  <c r="AJ61" i="1"/>
  <c r="AO61" i="1"/>
  <c r="AI61" i="1"/>
  <c r="AN61" i="1"/>
  <c r="AH61" i="1"/>
  <c r="AQ61" i="1"/>
  <c r="AK61" i="1"/>
  <c r="AM49" i="1"/>
  <c r="AR49" i="1"/>
  <c r="AL49" i="1"/>
  <c r="AP49" i="1"/>
  <c r="AJ49" i="1"/>
  <c r="AO49" i="1"/>
  <c r="AI49" i="1"/>
  <c r="AN49" i="1"/>
  <c r="AH49" i="1"/>
  <c r="AQ49" i="1"/>
  <c r="AK49" i="1"/>
  <c r="AM46" i="1"/>
  <c r="AR46" i="1"/>
  <c r="AL46" i="1"/>
  <c r="AP46" i="1"/>
  <c r="AJ46" i="1"/>
  <c r="AO46" i="1"/>
  <c r="AI46" i="1"/>
  <c r="AN46" i="1"/>
  <c r="AH46" i="1"/>
  <c r="AQ46" i="1"/>
  <c r="AK46" i="1"/>
  <c r="AM43" i="1"/>
  <c r="AR43" i="1"/>
  <c r="AL43" i="1"/>
  <c r="AP43" i="1"/>
  <c r="AJ43" i="1"/>
  <c r="AO43" i="1"/>
  <c r="AI43" i="1"/>
  <c r="AN43" i="1"/>
  <c r="AH43" i="1"/>
  <c r="AQ43" i="1"/>
  <c r="AK43" i="1"/>
  <c r="AM56" i="1"/>
  <c r="AR56" i="1"/>
  <c r="AL56" i="1"/>
  <c r="AP56" i="1"/>
  <c r="AJ56" i="1"/>
  <c r="AO56" i="1"/>
  <c r="AI56" i="1"/>
  <c r="AN56" i="1"/>
  <c r="AH56" i="1"/>
  <c r="AQ56" i="1"/>
  <c r="AK56" i="1"/>
  <c r="AO32" i="1"/>
  <c r="AI32" i="1"/>
  <c r="AN32" i="1"/>
  <c r="AH32" i="1"/>
  <c r="AR32" i="1"/>
  <c r="AL32" i="1"/>
  <c r="AQ32" i="1"/>
  <c r="AK32" i="1"/>
  <c r="AP32" i="1"/>
  <c r="AJ32" i="1"/>
  <c r="AM32" i="1"/>
  <c r="AM53" i="1"/>
  <c r="AR53" i="1"/>
  <c r="AL53" i="1"/>
  <c r="AP53" i="1"/>
  <c r="AJ53" i="1"/>
  <c r="AO53" i="1"/>
  <c r="AI53" i="1"/>
  <c r="AN53" i="1"/>
  <c r="AH53" i="1"/>
  <c r="AK53" i="1"/>
  <c r="AQ53" i="1"/>
  <c r="S36" i="1"/>
  <c r="Q36" i="1"/>
  <c r="AN25" i="1"/>
  <c r="AH25" i="1"/>
  <c r="AL25" i="1"/>
  <c r="AM25" i="1"/>
  <c r="AQ25" i="1"/>
  <c r="AK25" i="1"/>
  <c r="AP25" i="1"/>
  <c r="AJ25" i="1"/>
  <c r="AR25" i="1"/>
  <c r="AO25" i="1"/>
  <c r="AI25" i="1"/>
  <c r="AN16" i="1"/>
  <c r="AH16" i="1"/>
  <c r="AL16" i="1"/>
  <c r="AM16" i="1"/>
  <c r="AQ16" i="1"/>
  <c r="AK16" i="1"/>
  <c r="AP16" i="1"/>
  <c r="AJ16" i="1"/>
  <c r="AO16" i="1"/>
  <c r="AI16" i="1"/>
  <c r="AR16" i="1"/>
  <c r="S88" i="1"/>
  <c r="Q88" i="1"/>
  <c r="S40" i="1"/>
  <c r="Q40" i="1"/>
  <c r="AN96" i="1"/>
  <c r="AH96" i="1"/>
  <c r="AM96" i="1"/>
  <c r="AQ96" i="1"/>
  <c r="AK96" i="1"/>
  <c r="AP96" i="1"/>
  <c r="AJ96" i="1"/>
  <c r="AO96" i="1"/>
  <c r="AI96" i="1"/>
  <c r="AL96" i="1"/>
  <c r="AR96" i="1"/>
  <c r="S76" i="1"/>
  <c r="Q76" i="1"/>
  <c r="S60" i="1"/>
  <c r="Q60" i="1"/>
  <c r="AO54" i="1"/>
  <c r="AI54" i="1"/>
  <c r="AN54" i="1"/>
  <c r="AH54" i="1"/>
  <c r="AR54" i="1"/>
  <c r="AL54" i="1"/>
  <c r="AQ54" i="1"/>
  <c r="AK54" i="1"/>
  <c r="AP54" i="1"/>
  <c r="AJ54" i="1"/>
  <c r="AM54" i="1"/>
  <c r="S52" i="1"/>
  <c r="Q52" i="1"/>
  <c r="AO51" i="1"/>
  <c r="AI51" i="1"/>
  <c r="AN51" i="1"/>
  <c r="AH51" i="1"/>
  <c r="AR51" i="1"/>
  <c r="AL51" i="1"/>
  <c r="AQ51" i="1"/>
  <c r="AK51" i="1"/>
  <c r="AP51" i="1"/>
  <c r="AJ51" i="1"/>
  <c r="AM51" i="1"/>
  <c r="S42" i="1"/>
  <c r="Q42" i="1"/>
  <c r="AN7" i="1"/>
  <c r="AH7" i="1"/>
  <c r="AM7" i="1"/>
  <c r="AQ7" i="1"/>
  <c r="AK7" i="1"/>
  <c r="AP7" i="1"/>
  <c r="AJ7" i="1"/>
  <c r="AR7" i="1"/>
  <c r="AO7" i="1"/>
  <c r="AI7" i="1"/>
  <c r="AL7" i="1"/>
  <c r="AR18" i="1"/>
  <c r="AL18" i="1"/>
  <c r="AP18" i="1"/>
  <c r="AQ18" i="1"/>
  <c r="AK18" i="1"/>
  <c r="AO18" i="1"/>
  <c r="AI18" i="1"/>
  <c r="AN18" i="1"/>
  <c r="AH18" i="1"/>
  <c r="AM18" i="1"/>
  <c r="AJ18" i="1"/>
  <c r="AN10" i="1"/>
  <c r="AH10" i="1"/>
  <c r="AM10" i="1"/>
  <c r="AQ10" i="1"/>
  <c r="AK10" i="1"/>
  <c r="AP10" i="1"/>
  <c r="AJ10" i="1"/>
  <c r="AR10" i="1"/>
  <c r="AO10" i="1"/>
  <c r="AI10" i="1"/>
  <c r="AL10" i="1"/>
  <c r="AR9" i="1"/>
  <c r="AL9" i="1"/>
  <c r="AQ9" i="1"/>
  <c r="AK9" i="1"/>
  <c r="AO9" i="1"/>
  <c r="AI9" i="1"/>
  <c r="AN9" i="1"/>
  <c r="AH9" i="1"/>
  <c r="AP9" i="1"/>
  <c r="AJ9" i="1"/>
  <c r="AM9" i="1"/>
  <c r="AR114" i="1"/>
  <c r="AL114" i="1"/>
  <c r="AQ114" i="1"/>
  <c r="AK114" i="1"/>
  <c r="AO114" i="1"/>
  <c r="AI114" i="1"/>
  <c r="AN114" i="1"/>
  <c r="AH114" i="1"/>
  <c r="AM114" i="1"/>
  <c r="AP114" i="1"/>
  <c r="AJ114" i="1"/>
  <c r="S73" i="1"/>
  <c r="Q73" i="1"/>
  <c r="S113" i="1"/>
  <c r="Q113" i="1"/>
  <c r="S85" i="1"/>
  <c r="Q85" i="1"/>
  <c r="AR89" i="1"/>
  <c r="AL89" i="1"/>
  <c r="AQ89" i="1"/>
  <c r="AK89" i="1"/>
  <c r="AO89" i="1"/>
  <c r="AI89" i="1"/>
  <c r="AN89" i="1"/>
  <c r="AH89" i="1"/>
  <c r="AM89" i="1"/>
  <c r="AP89" i="1"/>
  <c r="AJ89" i="1"/>
  <c r="AR105" i="1"/>
  <c r="AL105" i="1"/>
  <c r="AQ105" i="1"/>
  <c r="AK105" i="1"/>
  <c r="AO105" i="1"/>
  <c r="AI105" i="1"/>
  <c r="AN105" i="1"/>
  <c r="AH105" i="1"/>
  <c r="AM105" i="1"/>
  <c r="AJ105" i="1"/>
  <c r="AP105" i="1"/>
  <c r="S70" i="1"/>
  <c r="Q70" i="1"/>
  <c r="AO66" i="1"/>
  <c r="AI66" i="1"/>
  <c r="AN66" i="1"/>
  <c r="AH66" i="1"/>
  <c r="AR66" i="1"/>
  <c r="AL66" i="1"/>
  <c r="AQ66" i="1"/>
  <c r="AK66" i="1"/>
  <c r="AP66" i="1"/>
  <c r="AJ66" i="1"/>
  <c r="AM66" i="1"/>
  <c r="S33" i="1"/>
  <c r="Q33" i="1"/>
  <c r="AR111" i="1"/>
  <c r="AL111" i="1"/>
  <c r="AQ111" i="1"/>
  <c r="AK111" i="1"/>
  <c r="AO111" i="1"/>
  <c r="AI111" i="1"/>
  <c r="AN111" i="1"/>
  <c r="AH111" i="1"/>
  <c r="AM111" i="1"/>
  <c r="AJ111" i="1"/>
  <c r="AP111" i="1"/>
  <c r="S48" i="1"/>
  <c r="Q48" i="1"/>
  <c r="S67" i="1"/>
  <c r="Q67" i="1"/>
  <c r="AN22" i="1"/>
  <c r="AH22" i="1"/>
  <c r="AM22" i="1"/>
  <c r="AQ22" i="1"/>
  <c r="AK22" i="1"/>
  <c r="AL22" i="1"/>
  <c r="AP22" i="1"/>
  <c r="AJ22" i="1"/>
  <c r="AO22" i="1"/>
  <c r="AI22" i="1"/>
  <c r="AR22" i="1"/>
  <c r="AR24" i="1"/>
  <c r="AL24" i="1"/>
  <c r="AQ24" i="1"/>
  <c r="AK24" i="1"/>
  <c r="AP24" i="1"/>
  <c r="AO24" i="1"/>
  <c r="AI24" i="1"/>
  <c r="AJ24" i="1"/>
  <c r="AN24" i="1"/>
  <c r="AH24" i="1"/>
  <c r="AM24" i="1"/>
  <c r="S97" i="1"/>
  <c r="Q97" i="1"/>
  <c r="AR95" i="1"/>
  <c r="AL95" i="1"/>
  <c r="AQ95" i="1"/>
  <c r="AK95" i="1"/>
  <c r="AO95" i="1"/>
  <c r="AI95" i="1"/>
  <c r="AN95" i="1"/>
  <c r="AH95" i="1"/>
  <c r="AM95" i="1"/>
  <c r="AP95" i="1"/>
  <c r="AJ95" i="1"/>
  <c r="AR86" i="1"/>
  <c r="AL86" i="1"/>
  <c r="AQ86" i="1"/>
  <c r="AK86" i="1"/>
  <c r="AO86" i="1"/>
  <c r="AI86" i="1"/>
  <c r="AN86" i="1"/>
  <c r="AH86" i="1"/>
  <c r="AM86" i="1"/>
  <c r="AP86" i="1"/>
  <c r="AJ86" i="1"/>
  <c r="AR92" i="1"/>
  <c r="AL92" i="1"/>
  <c r="AQ92" i="1"/>
  <c r="AK92" i="1"/>
  <c r="AO92" i="1"/>
  <c r="AI92" i="1"/>
  <c r="AN92" i="1"/>
  <c r="AH92" i="1"/>
  <c r="AM92" i="1"/>
  <c r="AJ92" i="1"/>
  <c r="AP92" i="1"/>
  <c r="AR83" i="1"/>
  <c r="AL83" i="1"/>
  <c r="AQ83" i="1"/>
  <c r="AK83" i="1"/>
  <c r="AO83" i="1"/>
  <c r="AI83" i="1"/>
  <c r="AN83" i="1"/>
  <c r="AH83" i="1"/>
  <c r="AM83" i="1"/>
  <c r="AJ83" i="1"/>
  <c r="AP83" i="1"/>
  <c r="S58" i="1"/>
  <c r="Q58" i="1"/>
  <c r="AM29" i="1"/>
  <c r="AR29" i="1"/>
  <c r="AL29" i="1"/>
  <c r="AP29" i="1"/>
  <c r="AJ29" i="1"/>
  <c r="AO29" i="1"/>
  <c r="AI29" i="1"/>
  <c r="AN29" i="1"/>
  <c r="AH29" i="1"/>
  <c r="AK29" i="1"/>
  <c r="AQ29" i="1"/>
  <c r="AM68" i="1"/>
  <c r="AR68" i="1"/>
  <c r="AL68" i="1"/>
  <c r="AP68" i="1"/>
  <c r="AJ68" i="1"/>
  <c r="AO68" i="1"/>
  <c r="AI68" i="1"/>
  <c r="AN68" i="1"/>
  <c r="AH68" i="1"/>
  <c r="AQ68" i="1"/>
  <c r="AK68" i="1"/>
  <c r="S55" i="1"/>
  <c r="Q55" i="1"/>
  <c r="S39" i="1"/>
  <c r="Q39" i="1"/>
  <c r="AM71" i="1"/>
  <c r="AR71" i="1"/>
  <c r="AL71" i="1"/>
  <c r="AP71" i="1"/>
  <c r="AJ71" i="1"/>
  <c r="AO71" i="1"/>
  <c r="AI71" i="1"/>
  <c r="AN71" i="1"/>
  <c r="AH71" i="1"/>
  <c r="AQ71" i="1"/>
  <c r="AK71" i="1"/>
  <c r="S28" i="1"/>
  <c r="Q28" i="1"/>
  <c r="AR15" i="1"/>
  <c r="AL15" i="1"/>
  <c r="AJ15" i="1"/>
  <c r="AQ15" i="1"/>
  <c r="AK15" i="1"/>
  <c r="AO15" i="1"/>
  <c r="AI15" i="1"/>
  <c r="AN15" i="1"/>
  <c r="AH15" i="1"/>
  <c r="AP15" i="1"/>
  <c r="AM15" i="1"/>
  <c r="AR12" i="1"/>
  <c r="AL12" i="1"/>
  <c r="AQ12" i="1"/>
  <c r="AK12" i="1"/>
  <c r="AO12" i="1"/>
  <c r="AI12" i="1"/>
  <c r="AN12" i="1"/>
  <c r="AH12" i="1"/>
  <c r="AM12" i="1"/>
  <c r="AP12" i="1"/>
  <c r="S100" i="1"/>
  <c r="Q100" i="1"/>
  <c r="AR98" i="1"/>
  <c r="AL98" i="1"/>
  <c r="AQ98" i="1"/>
  <c r="AK98" i="1"/>
  <c r="AO98" i="1"/>
  <c r="AI98" i="1"/>
  <c r="AN98" i="1"/>
  <c r="AH98" i="1"/>
  <c r="AM98" i="1"/>
  <c r="AP98" i="1"/>
  <c r="AJ98" i="1"/>
  <c r="Q82" i="1"/>
  <c r="S82" i="1"/>
  <c r="S31" i="1"/>
  <c r="Q31" i="1"/>
  <c r="AR6" i="1"/>
  <c r="AL6" i="1"/>
  <c r="AQ6" i="1"/>
  <c r="AK6" i="1"/>
  <c r="AO6" i="1"/>
  <c r="AI6" i="1"/>
  <c r="AN6" i="1"/>
  <c r="AM6" i="1"/>
  <c r="AJ6" i="1"/>
  <c r="AP6" i="1"/>
  <c r="AN19" i="1"/>
  <c r="AH19" i="1"/>
  <c r="AM19" i="1"/>
  <c r="AQ19" i="1"/>
  <c r="AK19" i="1"/>
  <c r="AP19" i="1"/>
  <c r="AJ19" i="1"/>
  <c r="AL19" i="1"/>
  <c r="AO19" i="1"/>
  <c r="AI19" i="1"/>
  <c r="AR19" i="1"/>
  <c r="S94" i="1"/>
  <c r="Q94" i="1"/>
  <c r="AR108" i="1"/>
  <c r="AL108" i="1"/>
  <c r="AQ108" i="1"/>
  <c r="AK108" i="1"/>
  <c r="AO108" i="1"/>
  <c r="AI108" i="1"/>
  <c r="AN108" i="1"/>
  <c r="AH108" i="1"/>
  <c r="AM108" i="1"/>
  <c r="AJ108" i="1"/>
  <c r="AP108" i="1"/>
  <c r="S79" i="1"/>
  <c r="Q79" i="1"/>
  <c r="S63" i="1"/>
  <c r="Q63" i="1"/>
  <c r="S45" i="1"/>
  <c r="Q45" i="1"/>
  <c r="AM50" i="1"/>
  <c r="AR50" i="1"/>
  <c r="AL50" i="1"/>
  <c r="AP50" i="1"/>
  <c r="AJ50" i="1"/>
  <c r="AO50" i="1"/>
  <c r="AI50" i="1"/>
  <c r="AN50" i="1"/>
  <c r="AH50" i="1"/>
  <c r="AQ50" i="1"/>
  <c r="AK50" i="1"/>
  <c r="AM37" i="1"/>
  <c r="AR37" i="1"/>
  <c r="AL37" i="1"/>
  <c r="AP37" i="1"/>
  <c r="AJ37" i="1"/>
  <c r="AO37" i="1"/>
  <c r="AI37" i="1"/>
  <c r="AN37" i="1"/>
  <c r="AH37" i="1"/>
  <c r="AK37" i="1"/>
  <c r="AQ37" i="1"/>
  <c r="AM34" i="1"/>
  <c r="AR34" i="1"/>
  <c r="AL34" i="1"/>
  <c r="AP34" i="1"/>
  <c r="AJ34" i="1"/>
  <c r="AO34" i="1"/>
  <c r="AI34" i="1"/>
  <c r="AN34" i="1"/>
  <c r="AH34" i="1"/>
  <c r="AK34" i="1"/>
  <c r="AQ34" i="1"/>
  <c r="AO27" i="1"/>
  <c r="AI27" i="1"/>
  <c r="AN27" i="1"/>
  <c r="AH27" i="1"/>
  <c r="AR27" i="1"/>
  <c r="AL27" i="1"/>
  <c r="AQ27" i="1"/>
  <c r="AK27" i="1"/>
  <c r="AP27" i="1"/>
  <c r="AJ27" i="1"/>
  <c r="AM27" i="1"/>
  <c r="AR101" i="1"/>
  <c r="AL101" i="1"/>
  <c r="AQ101" i="1"/>
  <c r="AK101" i="1"/>
  <c r="AO101" i="1"/>
  <c r="AI101" i="1"/>
  <c r="AN101" i="1"/>
  <c r="AH101" i="1"/>
  <c r="AM101" i="1"/>
  <c r="AJ101" i="1"/>
  <c r="AP101" i="1"/>
  <c r="S8" i="1"/>
  <c r="Q8" i="1"/>
  <c r="AM65" i="1"/>
  <c r="AR21" i="1"/>
  <c r="AL21" i="1"/>
  <c r="AP21" i="1"/>
  <c r="AQ21" i="1"/>
  <c r="AK21" i="1"/>
  <c r="AO21" i="1"/>
  <c r="AI21" i="1"/>
  <c r="AN21" i="1"/>
  <c r="AH21" i="1"/>
  <c r="AM21" i="1"/>
  <c r="AJ21" i="1"/>
  <c r="AN13" i="1"/>
  <c r="AH13" i="1"/>
  <c r="AR13" i="1"/>
  <c r="AL13" i="1"/>
  <c r="AM13" i="1"/>
  <c r="AQ13" i="1"/>
  <c r="AK13" i="1"/>
  <c r="AP13" i="1"/>
  <c r="AJ13" i="1"/>
  <c r="AO13" i="1"/>
  <c r="AI13" i="1"/>
  <c r="AH65" i="1" l="1"/>
  <c r="AN65" i="1"/>
  <c r="AL65" i="1"/>
  <c r="AI65" i="1"/>
  <c r="AO65" i="1"/>
  <c r="AR65" i="1"/>
  <c r="AK65" i="1"/>
  <c r="AJ65" i="1"/>
  <c r="AQ65" i="1"/>
  <c r="AM59" i="1"/>
  <c r="AH59" i="1"/>
  <c r="AJ59" i="1"/>
  <c r="AR59" i="1"/>
  <c r="AL59" i="1"/>
  <c r="AK59" i="1"/>
  <c r="AN59" i="1"/>
  <c r="AO59" i="1"/>
  <c r="AQ59" i="1"/>
  <c r="AI59" i="1"/>
  <c r="AP59" i="1"/>
  <c r="AM62" i="1"/>
  <c r="AH62" i="1"/>
  <c r="AJ62" i="1"/>
  <c r="AR62" i="1"/>
  <c r="AL62" i="1"/>
  <c r="AQ62" i="1"/>
  <c r="AO62" i="1"/>
  <c r="AI62" i="1"/>
  <c r="AK62" i="1"/>
  <c r="AN62" i="1"/>
  <c r="AP62" i="1"/>
  <c r="AM78" i="1"/>
  <c r="AH78" i="1"/>
  <c r="AJ78" i="1"/>
  <c r="AR78" i="1"/>
  <c r="AL78" i="1"/>
  <c r="AI78" i="1"/>
  <c r="AK78" i="1"/>
  <c r="AQ78" i="1"/>
  <c r="AN78" i="1"/>
  <c r="AP78" i="1"/>
  <c r="AO78" i="1"/>
  <c r="AM44" i="1"/>
  <c r="AH44" i="1"/>
  <c r="AJ44" i="1"/>
  <c r="AR44" i="1"/>
  <c r="AL44" i="1"/>
  <c r="AO44" i="1"/>
  <c r="AQ44" i="1"/>
  <c r="AI44" i="1"/>
  <c r="AK44" i="1"/>
  <c r="AN44" i="1"/>
  <c r="AP44" i="1"/>
  <c r="AN35" i="1"/>
  <c r="AP35" i="1"/>
  <c r="AH35" i="1"/>
  <c r="AJ35" i="1"/>
  <c r="AR35" i="1"/>
  <c r="AL35" i="1"/>
  <c r="AO35" i="1"/>
  <c r="AQ35" i="1"/>
  <c r="AI35" i="1"/>
  <c r="AK35" i="1"/>
  <c r="AM35" i="1"/>
  <c r="AQ79" i="1"/>
  <c r="AK79" i="1"/>
  <c r="AP79" i="1"/>
  <c r="AJ79" i="1"/>
  <c r="AN79" i="1"/>
  <c r="AH79" i="1"/>
  <c r="AM79" i="1"/>
  <c r="AR79" i="1"/>
  <c r="AL79" i="1"/>
  <c r="AI79" i="1"/>
  <c r="AO79" i="1"/>
  <c r="AQ70" i="1"/>
  <c r="AK70" i="1"/>
  <c r="AP70" i="1"/>
  <c r="AJ70" i="1"/>
  <c r="AN70" i="1"/>
  <c r="AH70" i="1"/>
  <c r="AM70" i="1"/>
  <c r="AR70" i="1"/>
  <c r="AL70" i="1"/>
  <c r="AO70" i="1"/>
  <c r="AI70" i="1"/>
  <c r="AP85" i="1"/>
  <c r="AJ85" i="1"/>
  <c r="AO85" i="1"/>
  <c r="AI85" i="1"/>
  <c r="AM85" i="1"/>
  <c r="AR85" i="1"/>
  <c r="AL85" i="1"/>
  <c r="AQ85" i="1"/>
  <c r="AK85" i="1"/>
  <c r="AN85" i="1"/>
  <c r="AH85" i="1"/>
  <c r="AM40" i="1"/>
  <c r="AR40" i="1"/>
  <c r="AL40" i="1"/>
  <c r="AP40" i="1"/>
  <c r="AJ40" i="1"/>
  <c r="AQ40" i="1"/>
  <c r="AO40" i="1"/>
  <c r="AK40" i="1"/>
  <c r="AI40" i="1"/>
  <c r="AH40" i="1"/>
  <c r="AN40" i="1"/>
  <c r="AQ63" i="1"/>
  <c r="AK63" i="1"/>
  <c r="AP63" i="1"/>
  <c r="AJ63" i="1"/>
  <c r="AN63" i="1"/>
  <c r="AH63" i="1"/>
  <c r="AM63" i="1"/>
  <c r="AR63" i="1"/>
  <c r="AL63" i="1"/>
  <c r="AI63" i="1"/>
  <c r="AO63" i="1"/>
  <c r="AP100" i="1"/>
  <c r="AJ100" i="1"/>
  <c r="AO100" i="1"/>
  <c r="AI100" i="1"/>
  <c r="AM100" i="1"/>
  <c r="AR100" i="1"/>
  <c r="AL100" i="1"/>
  <c r="AQ100" i="1"/>
  <c r="AK100" i="1"/>
  <c r="AN100" i="1"/>
  <c r="AH100" i="1"/>
  <c r="AQ28" i="1"/>
  <c r="AK28" i="1"/>
  <c r="AP28" i="1"/>
  <c r="AJ28" i="1"/>
  <c r="AN28" i="1"/>
  <c r="AH28" i="1"/>
  <c r="AM28" i="1"/>
  <c r="AR28" i="1"/>
  <c r="AL28" i="1"/>
  <c r="AO28" i="1"/>
  <c r="AI28" i="1"/>
  <c r="AQ42" i="1"/>
  <c r="AK42" i="1"/>
  <c r="AP42" i="1"/>
  <c r="AJ42" i="1"/>
  <c r="AN42" i="1"/>
  <c r="AH42" i="1"/>
  <c r="AR42" i="1"/>
  <c r="AM42" i="1"/>
  <c r="AL42" i="1"/>
  <c r="AI42" i="1"/>
  <c r="AO42" i="1"/>
  <c r="AP8" i="1"/>
  <c r="AJ8" i="1"/>
  <c r="AN8" i="1"/>
  <c r="AO8" i="1"/>
  <c r="AI8" i="1"/>
  <c r="AM8" i="1"/>
  <c r="AR8" i="1"/>
  <c r="AL8" i="1"/>
  <c r="AQ8" i="1"/>
  <c r="AK8" i="1"/>
  <c r="AH8" i="1"/>
  <c r="AQ39" i="1"/>
  <c r="AK39" i="1"/>
  <c r="AP39" i="1"/>
  <c r="AL39" i="1"/>
  <c r="AJ39" i="1"/>
  <c r="AO39" i="1"/>
  <c r="AH39" i="1"/>
  <c r="AN39" i="1"/>
  <c r="AM39" i="1"/>
  <c r="AR39" i="1"/>
  <c r="AI39" i="1"/>
  <c r="AP97" i="1"/>
  <c r="AJ97" i="1"/>
  <c r="AO97" i="1"/>
  <c r="AI97" i="1"/>
  <c r="AM97" i="1"/>
  <c r="AR97" i="1"/>
  <c r="AL97" i="1"/>
  <c r="AQ97" i="1"/>
  <c r="AK97" i="1"/>
  <c r="AH97" i="1"/>
  <c r="AN97" i="1"/>
  <c r="AQ67" i="1"/>
  <c r="AK67" i="1"/>
  <c r="AP67" i="1"/>
  <c r="AJ67" i="1"/>
  <c r="AN67" i="1"/>
  <c r="AH67" i="1"/>
  <c r="AM67" i="1"/>
  <c r="AR67" i="1"/>
  <c r="AL67" i="1"/>
  <c r="AO67" i="1"/>
  <c r="AI67" i="1"/>
  <c r="AP113" i="1"/>
  <c r="AJ113" i="1"/>
  <c r="AO113" i="1"/>
  <c r="AI113" i="1"/>
  <c r="AM113" i="1"/>
  <c r="AR113" i="1"/>
  <c r="AL113" i="1"/>
  <c r="AQ113" i="1"/>
  <c r="AK113" i="1"/>
  <c r="AN113" i="1"/>
  <c r="AH113" i="1"/>
  <c r="AQ52" i="1"/>
  <c r="AK52" i="1"/>
  <c r="AP52" i="1"/>
  <c r="AJ52" i="1"/>
  <c r="AN52" i="1"/>
  <c r="AH52" i="1"/>
  <c r="AM52" i="1"/>
  <c r="AR52" i="1"/>
  <c r="AL52" i="1"/>
  <c r="AO52" i="1"/>
  <c r="AI52" i="1"/>
  <c r="AP88" i="1"/>
  <c r="AJ88" i="1"/>
  <c r="AO88" i="1"/>
  <c r="AI88" i="1"/>
  <c r="AM88" i="1"/>
  <c r="AR88" i="1"/>
  <c r="AL88" i="1"/>
  <c r="AQ88" i="1"/>
  <c r="AK88" i="1"/>
  <c r="AH88" i="1"/>
  <c r="AN88" i="1"/>
  <c r="AQ36" i="1"/>
  <c r="AK36" i="1"/>
  <c r="AP36" i="1"/>
  <c r="AJ36" i="1"/>
  <c r="AN36" i="1"/>
  <c r="AH36" i="1"/>
  <c r="AM36" i="1"/>
  <c r="AR36" i="1"/>
  <c r="AL36" i="1"/>
  <c r="AO36" i="1"/>
  <c r="AI36" i="1"/>
  <c r="AQ60" i="1"/>
  <c r="AK60" i="1"/>
  <c r="AP60" i="1"/>
  <c r="AJ60" i="1"/>
  <c r="AN60" i="1"/>
  <c r="AH60" i="1"/>
  <c r="AM60" i="1"/>
  <c r="AR60" i="1"/>
  <c r="AL60" i="1"/>
  <c r="AI60" i="1"/>
  <c r="AO60" i="1"/>
  <c r="AP94" i="1"/>
  <c r="AJ94" i="1"/>
  <c r="AO94" i="1"/>
  <c r="AI94" i="1"/>
  <c r="AM94" i="1"/>
  <c r="AR94" i="1"/>
  <c r="AL94" i="1"/>
  <c r="AQ94" i="1"/>
  <c r="AK94" i="1"/>
  <c r="AN94" i="1"/>
  <c r="AH94" i="1"/>
  <c r="AQ31" i="1"/>
  <c r="AK31" i="1"/>
  <c r="AP31" i="1"/>
  <c r="AJ31" i="1"/>
  <c r="AN31" i="1"/>
  <c r="AH31" i="1"/>
  <c r="AM31" i="1"/>
  <c r="AR31" i="1"/>
  <c r="AL31" i="1"/>
  <c r="AO31" i="1"/>
  <c r="AI31" i="1"/>
  <c r="AQ55" i="1"/>
  <c r="AK55" i="1"/>
  <c r="AP55" i="1"/>
  <c r="AJ55" i="1"/>
  <c r="AN55" i="1"/>
  <c r="AH55" i="1"/>
  <c r="AM55" i="1"/>
  <c r="AR55" i="1"/>
  <c r="AL55" i="1"/>
  <c r="AI55" i="1"/>
  <c r="AO55" i="1"/>
  <c r="AQ58" i="1"/>
  <c r="AK58" i="1"/>
  <c r="AP58" i="1"/>
  <c r="AJ58" i="1"/>
  <c r="AN58" i="1"/>
  <c r="AH58" i="1"/>
  <c r="AM58" i="1"/>
  <c r="AR58" i="1"/>
  <c r="AL58" i="1"/>
  <c r="AO58" i="1"/>
  <c r="AI58" i="1"/>
  <c r="AQ48" i="1"/>
  <c r="AK48" i="1"/>
  <c r="AP48" i="1"/>
  <c r="AJ48" i="1"/>
  <c r="AN48" i="1"/>
  <c r="AH48" i="1"/>
  <c r="AM48" i="1"/>
  <c r="AR48" i="1"/>
  <c r="AL48" i="1"/>
  <c r="AI48" i="1"/>
  <c r="AO48" i="1"/>
  <c r="AQ73" i="1"/>
  <c r="AK73" i="1"/>
  <c r="AP73" i="1"/>
  <c r="AJ73" i="1"/>
  <c r="AN73" i="1"/>
  <c r="AH73" i="1"/>
  <c r="AM73" i="1"/>
  <c r="AR73" i="1"/>
  <c r="AL73" i="1"/>
  <c r="AI73" i="1"/>
  <c r="AO73" i="1"/>
  <c r="AQ45" i="1"/>
  <c r="AK45" i="1"/>
  <c r="AP45" i="1"/>
  <c r="AJ45" i="1"/>
  <c r="AN45" i="1"/>
  <c r="AH45" i="1"/>
  <c r="AM45" i="1"/>
  <c r="AR45" i="1"/>
  <c r="AL45" i="1"/>
  <c r="AI45" i="1"/>
  <c r="AO45" i="1"/>
  <c r="AP82" i="1"/>
  <c r="AJ82" i="1"/>
  <c r="AO82" i="1"/>
  <c r="AI82" i="1"/>
  <c r="AM82" i="1"/>
  <c r="AR82" i="1"/>
  <c r="AL82" i="1"/>
  <c r="AQ82" i="1"/>
  <c r="AK82" i="1"/>
  <c r="AN82" i="1"/>
  <c r="AH82" i="1"/>
  <c r="AQ33" i="1"/>
  <c r="AK33" i="1"/>
  <c r="AP33" i="1"/>
  <c r="AJ33" i="1"/>
  <c r="AN33" i="1"/>
  <c r="AH33" i="1"/>
  <c r="AM33" i="1"/>
  <c r="AR33" i="1"/>
  <c r="AL33" i="1"/>
  <c r="AO33" i="1"/>
  <c r="AI33" i="1"/>
  <c r="AQ76" i="1"/>
  <c r="AK76" i="1"/>
  <c r="AP76" i="1"/>
  <c r="AJ76" i="1"/>
  <c r="AN76" i="1"/>
  <c r="AH76" i="1"/>
  <c r="AM76" i="1"/>
  <c r="AR76" i="1"/>
  <c r="AL76" i="1"/>
  <c r="AI76" i="1"/>
  <c r="AO76" i="1"/>
  <c r="AP91" i="1"/>
  <c r="AJ91" i="1"/>
  <c r="AO91" i="1"/>
  <c r="AI91" i="1"/>
  <c r="AM91" i="1"/>
  <c r="AR91" i="1"/>
  <c r="AL91" i="1"/>
  <c r="AQ91" i="1"/>
  <c r="AK91" i="1"/>
  <c r="AN91" i="1"/>
  <c r="AH91" i="1"/>
</calcChain>
</file>

<file path=xl/sharedStrings.xml><?xml version="1.0" encoding="utf-8"?>
<sst xmlns="http://schemas.openxmlformats.org/spreadsheetml/2006/main" count="1625" uniqueCount="382">
  <si>
    <t xml:space="preserve">Concentrations in Water Extraction </t>
  </si>
  <si>
    <t xml:space="preserve">Per gram dry soil basis </t>
  </si>
  <si>
    <t>1:2 Slurry</t>
  </si>
  <si>
    <t>mg/L</t>
  </si>
  <si>
    <t>mg/g</t>
  </si>
  <si>
    <t>Lab ID</t>
  </si>
  <si>
    <t>Field ID</t>
  </si>
  <si>
    <t>Location</t>
  </si>
  <si>
    <t>Sample Date</t>
  </si>
  <si>
    <t>Burn Severity</t>
  </si>
  <si>
    <t>Treatment</t>
  </si>
  <si>
    <t>Total Sample + Bag (g)</t>
  </si>
  <si>
    <t>Total Sieved Sample + Bag (g)</t>
  </si>
  <si>
    <t>Tin</t>
  </si>
  <si>
    <t>Tin Weight (g)</t>
  </si>
  <si>
    <t>Wet Weight of Subsample (g)</t>
  </si>
  <si>
    <t>Dry Subsample + Tin Weight (g)</t>
  </si>
  <si>
    <t>Dry Weight of Subsample (g)</t>
  </si>
  <si>
    <t>Water Weight of Subsample (g)</t>
  </si>
  <si>
    <t>Water Content (w-d/d) (g/g)</t>
  </si>
  <si>
    <t>Total Sample Dry Weight (g)</t>
  </si>
  <si>
    <t>Water Extraction Soil Weight (g)</t>
  </si>
  <si>
    <t>Water Extraction Soil Dry Weight (g)</t>
  </si>
  <si>
    <t>Soil pH</t>
  </si>
  <si>
    <t>DOC</t>
  </si>
  <si>
    <t>TDN</t>
  </si>
  <si>
    <t>Na</t>
  </si>
  <si>
    <t>NH4</t>
  </si>
  <si>
    <t>K</t>
  </si>
  <si>
    <t>Mg</t>
  </si>
  <si>
    <t>Ca</t>
  </si>
  <si>
    <t>Cl</t>
  </si>
  <si>
    <t>NO3</t>
  </si>
  <si>
    <t>PO4</t>
  </si>
  <si>
    <t>SO4</t>
  </si>
  <si>
    <t>TFR 1</t>
  </si>
  <si>
    <t>SC_CON_01</t>
  </si>
  <si>
    <t>Stone Canyon</t>
  </si>
  <si>
    <t>Unburned</t>
  </si>
  <si>
    <t>Control</t>
  </si>
  <si>
    <t>H03</t>
  </si>
  <si>
    <t>TFR 2</t>
  </si>
  <si>
    <t>SC_CON_02</t>
  </si>
  <si>
    <t>XZ06</t>
  </si>
  <si>
    <t>TFR 3</t>
  </si>
  <si>
    <t>SC_CON_03</t>
  </si>
  <si>
    <t>D122</t>
  </si>
  <si>
    <t>TFR 4</t>
  </si>
  <si>
    <t>SC_CON_04</t>
  </si>
  <si>
    <t>C106</t>
  </si>
  <si>
    <t>TFR 5</t>
  </si>
  <si>
    <t>SC_CON_05</t>
  </si>
  <si>
    <t>D90</t>
  </si>
  <si>
    <t>TFR 6</t>
  </si>
  <si>
    <t>SC_CON_06</t>
  </si>
  <si>
    <t>D109</t>
  </si>
  <si>
    <t>TFR 7</t>
  </si>
  <si>
    <t>SC_CON_07</t>
  </si>
  <si>
    <t>A20</t>
  </si>
  <si>
    <t>TFR 8</t>
  </si>
  <si>
    <t>SC_CON_08</t>
  </si>
  <si>
    <t>XZ04</t>
  </si>
  <si>
    <t>TFR 9</t>
  </si>
  <si>
    <t>SC_CON_09</t>
  </si>
  <si>
    <t>H27</t>
  </si>
  <si>
    <t>TFR 10</t>
  </si>
  <si>
    <t>SC_CON_10</t>
  </si>
  <si>
    <t>C108</t>
  </si>
  <si>
    <t>TFR 11</t>
  </si>
  <si>
    <t>SC_CON_12</t>
  </si>
  <si>
    <t>C154</t>
  </si>
  <si>
    <t>TFR 12</t>
  </si>
  <si>
    <t>SC_CON_13</t>
  </si>
  <si>
    <t>C112</t>
  </si>
  <si>
    <t>TFR 13</t>
  </si>
  <si>
    <t>SC_CON_14</t>
  </si>
  <si>
    <t>H21</t>
  </si>
  <si>
    <t>TFR 14</t>
  </si>
  <si>
    <t>SC_CON_15</t>
  </si>
  <si>
    <t>Z1</t>
  </si>
  <si>
    <t>TFR 15</t>
  </si>
  <si>
    <t>SC_CON_16</t>
  </si>
  <si>
    <t>D92</t>
  </si>
  <si>
    <t>TFR 16</t>
  </si>
  <si>
    <t>SC_CON_18</t>
  </si>
  <si>
    <t>C42</t>
  </si>
  <si>
    <t>TFR 17</t>
  </si>
  <si>
    <t>SC_CON_19</t>
  </si>
  <si>
    <t>C71</t>
  </si>
  <si>
    <t>TFR 18</t>
  </si>
  <si>
    <t>SC_BURN_1</t>
  </si>
  <si>
    <t>Burned</t>
  </si>
  <si>
    <t>C163</t>
  </si>
  <si>
    <t>TFR 19</t>
  </si>
  <si>
    <t>SC_BURN_2</t>
  </si>
  <si>
    <t>H43</t>
  </si>
  <si>
    <t>TFR 20</t>
  </si>
  <si>
    <t>SC_BURN_3</t>
  </si>
  <si>
    <t>D17</t>
  </si>
  <si>
    <t>TFR 21</t>
  </si>
  <si>
    <t>SC_BURN_4</t>
  </si>
  <si>
    <t>C133</t>
  </si>
  <si>
    <t>TFR 22</t>
  </si>
  <si>
    <t>SC_BURN_12</t>
  </si>
  <si>
    <t>C145</t>
  </si>
  <si>
    <t>TFR 23</t>
  </si>
  <si>
    <t>SC_BURN_13</t>
  </si>
  <si>
    <t>C138</t>
  </si>
  <si>
    <t>TFR 24</t>
  </si>
  <si>
    <t>SC_BURN_14</t>
  </si>
  <si>
    <t>Z142</t>
  </si>
  <si>
    <t>TFR 25</t>
  </si>
  <si>
    <t>SC_BURN_15</t>
  </si>
  <si>
    <t>D112</t>
  </si>
  <si>
    <t>TFR 26</t>
  </si>
  <si>
    <t>SC_BURN_16</t>
  </si>
  <si>
    <t>C18</t>
  </si>
  <si>
    <t>TFR 45</t>
  </si>
  <si>
    <t>SC_BURN_5</t>
  </si>
  <si>
    <t>TFR 46</t>
  </si>
  <si>
    <t>SC_BURN_6</t>
  </si>
  <si>
    <t>AZ0</t>
  </si>
  <si>
    <t>TFR 47</t>
  </si>
  <si>
    <t>SC_BURN_7</t>
  </si>
  <si>
    <t>C137</t>
  </si>
  <si>
    <t>TFR 48</t>
  </si>
  <si>
    <t>SC_BURN_8</t>
  </si>
  <si>
    <t>Z136</t>
  </si>
  <si>
    <t>TFR 49</t>
  </si>
  <si>
    <t>SC_BURN_9</t>
  </si>
  <si>
    <t>C58</t>
  </si>
  <si>
    <t>TFR 50</t>
  </si>
  <si>
    <t>SC_BURN_10</t>
  </si>
  <si>
    <t>K9</t>
  </si>
  <si>
    <t>TFR 51</t>
  </si>
  <si>
    <t>SC_BURN_11</t>
  </si>
  <si>
    <t>TFR 52</t>
  </si>
  <si>
    <t>SC_BURN_17</t>
  </si>
  <si>
    <t>C117</t>
  </si>
  <si>
    <t>TFR 53</t>
  </si>
  <si>
    <t>SC_BURN_18</t>
  </si>
  <si>
    <t>TFR 60</t>
  </si>
  <si>
    <t>U_CO_03</t>
  </si>
  <si>
    <t>Quarry</t>
  </si>
  <si>
    <t>TFR 61</t>
  </si>
  <si>
    <t>U_CO_04</t>
  </si>
  <si>
    <t>C66</t>
  </si>
  <si>
    <t>TFR 62</t>
  </si>
  <si>
    <t>M_CO_01</t>
  </si>
  <si>
    <t>Moderate</t>
  </si>
  <si>
    <t>D18</t>
  </si>
  <si>
    <t>TFR 63</t>
  </si>
  <si>
    <t>M_CO_03</t>
  </si>
  <si>
    <t>C16</t>
  </si>
  <si>
    <t>TFR 64</t>
  </si>
  <si>
    <t>M_CO_05</t>
  </si>
  <si>
    <t>TFR 65</t>
  </si>
  <si>
    <t>H_CO_03</t>
  </si>
  <si>
    <t>High</t>
  </si>
  <si>
    <t>Z143</t>
  </si>
  <si>
    <t>TFR 66</t>
  </si>
  <si>
    <t>H_CO_07</t>
  </si>
  <si>
    <t>TFR 27</t>
  </si>
  <si>
    <t>SC_FRL1_01</t>
  </si>
  <si>
    <t>Fire  Line</t>
  </si>
  <si>
    <t>Fire Retardant</t>
  </si>
  <si>
    <t>D74</t>
  </si>
  <si>
    <t>TFR 28</t>
  </si>
  <si>
    <t>SC_FRL1_02</t>
  </si>
  <si>
    <t>C28</t>
  </si>
  <si>
    <t>TFR 29</t>
  </si>
  <si>
    <t>SC_FRL1_03</t>
  </si>
  <si>
    <t>TFR 30</t>
  </si>
  <si>
    <t>SC_FRL2_01</t>
  </si>
  <si>
    <t>B92</t>
  </si>
  <si>
    <t>TFR 31</t>
  </si>
  <si>
    <t>SC_FRL2_02</t>
  </si>
  <si>
    <t>AB004</t>
  </si>
  <si>
    <t>TFR 32</t>
  </si>
  <si>
    <t>SC_FRL2_03</t>
  </si>
  <si>
    <t>TFR 33</t>
  </si>
  <si>
    <t>SC_FRL3_01</t>
  </si>
  <si>
    <t>C44</t>
  </si>
  <si>
    <t>TFR 34</t>
  </si>
  <si>
    <t>SC_FRL3_02</t>
  </si>
  <si>
    <t>TFR 35</t>
  </si>
  <si>
    <t>SC_FRL3_03</t>
  </si>
  <si>
    <t>C67</t>
  </si>
  <si>
    <t>TFR 36</t>
  </si>
  <si>
    <t>SC_FRL4_01</t>
  </si>
  <si>
    <t>TFR 37</t>
  </si>
  <si>
    <t>SC_FRL4_02</t>
  </si>
  <si>
    <t>C168</t>
  </si>
  <si>
    <t>TFR 38</t>
  </si>
  <si>
    <t>SC_FRL4_03</t>
  </si>
  <si>
    <t>C79</t>
  </si>
  <si>
    <t>TFR 39</t>
  </si>
  <si>
    <t>SC_FRL5_01</t>
  </si>
  <si>
    <t>D71</t>
  </si>
  <si>
    <t>TFR 40</t>
  </si>
  <si>
    <t>SC_FRL5_02</t>
  </si>
  <si>
    <t>C131</t>
  </si>
  <si>
    <t>TFR 41</t>
  </si>
  <si>
    <t>SC_FRL5_03</t>
  </si>
  <si>
    <t>C21</t>
  </si>
  <si>
    <t>TFR 42</t>
  </si>
  <si>
    <t>SC_FRL6_01</t>
  </si>
  <si>
    <t>C104</t>
  </si>
  <si>
    <t>TFR 43</t>
  </si>
  <si>
    <t>SC_FRL6_02</t>
  </si>
  <si>
    <t>H20</t>
  </si>
  <si>
    <t>TFR 44</t>
  </si>
  <si>
    <t>SC_FRL6_03</t>
  </si>
  <si>
    <t>TFR 54</t>
  </si>
  <si>
    <t>U_FR_03</t>
  </si>
  <si>
    <t>TFR 55</t>
  </si>
  <si>
    <t>U_FR_05</t>
  </si>
  <si>
    <t>C65</t>
  </si>
  <si>
    <t>TFR 56</t>
  </si>
  <si>
    <t>L_FR_03</t>
  </si>
  <si>
    <t>Low</t>
  </si>
  <si>
    <t>TFR 57</t>
  </si>
  <si>
    <t>L_FR_04</t>
  </si>
  <si>
    <t>C53</t>
  </si>
  <si>
    <t>TFR 58</t>
  </si>
  <si>
    <t>M_FR_07</t>
  </si>
  <si>
    <t>C4</t>
  </si>
  <si>
    <t>TFR 59</t>
  </si>
  <si>
    <t>H_FR_06</t>
  </si>
  <si>
    <t>TFR 67</t>
  </si>
  <si>
    <t>H_CO_01</t>
  </si>
  <si>
    <t>TFR 68</t>
  </si>
  <si>
    <t>H_CO_02</t>
  </si>
  <si>
    <t>TFR 69</t>
  </si>
  <si>
    <t>H_CO_04</t>
  </si>
  <si>
    <t>TFR 70</t>
  </si>
  <si>
    <t>H_CO_05</t>
  </si>
  <si>
    <t>D53</t>
  </si>
  <si>
    <t>TFR 71</t>
  </si>
  <si>
    <t>H_CO_06</t>
  </si>
  <si>
    <t>D1Z5</t>
  </si>
  <si>
    <t>TFR 72</t>
  </si>
  <si>
    <t>H_FR_01</t>
  </si>
  <si>
    <t>D65</t>
  </si>
  <si>
    <t>TFR 73</t>
  </si>
  <si>
    <t>H_FR_02</t>
  </si>
  <si>
    <t>TFR 74</t>
  </si>
  <si>
    <t>H_FR_03</t>
  </si>
  <si>
    <t>Z141</t>
  </si>
  <si>
    <t>TFR 75</t>
  </si>
  <si>
    <t>H_FR_04</t>
  </si>
  <si>
    <t>C88</t>
  </si>
  <si>
    <t>TFR 76</t>
  </si>
  <si>
    <t>H_FR_05</t>
  </si>
  <si>
    <t>TFR 77</t>
  </si>
  <si>
    <t>H_FR_07</t>
  </si>
  <si>
    <t>V22</t>
  </si>
  <si>
    <t>TFR 78</t>
  </si>
  <si>
    <t>L_CO_01</t>
  </si>
  <si>
    <t>TFR 79</t>
  </si>
  <si>
    <t>L_CO_02</t>
  </si>
  <si>
    <t>TFR 80</t>
  </si>
  <si>
    <t>L_CO_03</t>
  </si>
  <si>
    <t>TFR 81</t>
  </si>
  <si>
    <t>L_CO_04</t>
  </si>
  <si>
    <t>TFR 82</t>
  </si>
  <si>
    <t>L_CO_05</t>
  </si>
  <si>
    <t>TFR 83</t>
  </si>
  <si>
    <t>L_CO_06</t>
  </si>
  <si>
    <t>D104</t>
  </si>
  <si>
    <t>TFR 84</t>
  </si>
  <si>
    <t>L_CO_07</t>
  </si>
  <si>
    <t>V12</t>
  </si>
  <si>
    <t>TFR 85</t>
  </si>
  <si>
    <t>L_FR_01</t>
  </si>
  <si>
    <t>C34</t>
  </si>
  <si>
    <t>TFR 86</t>
  </si>
  <si>
    <t>L_FR_02</t>
  </si>
  <si>
    <t>AB005</t>
  </si>
  <si>
    <t>TFR 87</t>
  </si>
  <si>
    <t>L_FR_05</t>
  </si>
  <si>
    <t>V14</t>
  </si>
  <si>
    <t>TFR 88</t>
  </si>
  <si>
    <t>L_FR_06</t>
  </si>
  <si>
    <t>A19</t>
  </si>
  <si>
    <t>TFR 89</t>
  </si>
  <si>
    <t>L_FR_07</t>
  </si>
  <si>
    <t>TFR 90</t>
  </si>
  <si>
    <t>M_CO_02</t>
  </si>
  <si>
    <t>TFR 91</t>
  </si>
  <si>
    <t>M_CO_04</t>
  </si>
  <si>
    <t>TFR 92</t>
  </si>
  <si>
    <t>M_CO_06</t>
  </si>
  <si>
    <t>D76</t>
  </si>
  <si>
    <t>TFR 93</t>
  </si>
  <si>
    <t>M_CO_07</t>
  </si>
  <si>
    <t>G69</t>
  </si>
  <si>
    <t>TFR 94</t>
  </si>
  <si>
    <t>M_FR_01</t>
  </si>
  <si>
    <t>V11</t>
  </si>
  <si>
    <t>TFR 95</t>
  </si>
  <si>
    <t>M_FR_02</t>
  </si>
  <si>
    <t>TFR 96</t>
  </si>
  <si>
    <t>M_FR_03</t>
  </si>
  <si>
    <t>D83</t>
  </si>
  <si>
    <t>TFR 97</t>
  </si>
  <si>
    <t>M_FR_04</t>
  </si>
  <si>
    <t>AZ6</t>
  </si>
  <si>
    <t>TFR 98</t>
  </si>
  <si>
    <t>M_FR_05</t>
  </si>
  <si>
    <t>MISSING SAMPLE</t>
  </si>
  <si>
    <t>TFR 99</t>
  </si>
  <si>
    <t>M_FR_06</t>
  </si>
  <si>
    <t>D41</t>
  </si>
  <si>
    <t>TFR 100</t>
  </si>
  <si>
    <t>U_CO_01</t>
  </si>
  <si>
    <t>C99</t>
  </si>
  <si>
    <t>TFR 101</t>
  </si>
  <si>
    <t>U_CO_02</t>
  </si>
  <si>
    <t>B33</t>
  </si>
  <si>
    <t>TFR 102</t>
  </si>
  <si>
    <t>U_CO_05</t>
  </si>
  <si>
    <t>V9</t>
  </si>
  <si>
    <t>TFR 103</t>
  </si>
  <si>
    <t>U_CO_06</t>
  </si>
  <si>
    <t>V6</t>
  </si>
  <si>
    <t>TFR 104</t>
  </si>
  <si>
    <t>U_CO_07</t>
  </si>
  <si>
    <t>C171</t>
  </si>
  <si>
    <t>TFR 105</t>
  </si>
  <si>
    <t>U_FR_01</t>
  </si>
  <si>
    <t>D42</t>
  </si>
  <si>
    <t>TFR 106</t>
  </si>
  <si>
    <t>U_FR_02</t>
  </si>
  <si>
    <t>SAM</t>
  </si>
  <si>
    <t>TFR 107</t>
  </si>
  <si>
    <t>U_FR_04</t>
  </si>
  <si>
    <t>C14</t>
  </si>
  <si>
    <t>TFR 108</t>
  </si>
  <si>
    <t>U_FR_06</t>
  </si>
  <si>
    <t>TFR 109</t>
  </si>
  <si>
    <t>U_FR_07</t>
  </si>
  <si>
    <t>D98</t>
  </si>
  <si>
    <t>ID</t>
  </si>
  <si>
    <t>pH</t>
  </si>
  <si>
    <t>SC_BURN_01</t>
  </si>
  <si>
    <t>SC_BURN_02</t>
  </si>
  <si>
    <t>SC_BURN_03</t>
  </si>
  <si>
    <t>SC_BURN_04</t>
  </si>
  <si>
    <t>SC_BURN_05</t>
  </si>
  <si>
    <t>SC_BURN_06</t>
  </si>
  <si>
    <t>SC_BURN_07</t>
  </si>
  <si>
    <t>SC_BURN_08</t>
  </si>
  <si>
    <t>SC_BURN_09</t>
  </si>
  <si>
    <t>U_C_03</t>
  </si>
  <si>
    <t>U_C_04</t>
  </si>
  <si>
    <t>M_C_01</t>
  </si>
  <si>
    <t>M_C_03</t>
  </si>
  <si>
    <t>M_C_05</t>
  </si>
  <si>
    <t>H_C_03</t>
  </si>
  <si>
    <t>H_C_07</t>
  </si>
  <si>
    <t>H_C_01</t>
  </si>
  <si>
    <t>H_C_02</t>
  </si>
  <si>
    <t>H_C_04</t>
  </si>
  <si>
    <t>H_C_05</t>
  </si>
  <si>
    <t>H_C_06</t>
  </si>
  <si>
    <t>L_C_01</t>
  </si>
  <si>
    <t>L_C_02</t>
  </si>
  <si>
    <t>L_C_03</t>
  </si>
  <si>
    <t>L_C_04</t>
  </si>
  <si>
    <t>L_C_05</t>
  </si>
  <si>
    <t>L_C_06</t>
  </si>
  <si>
    <t>L_C_07</t>
  </si>
  <si>
    <t>M_C_02</t>
  </si>
  <si>
    <t>M_C_04</t>
  </si>
  <si>
    <t>M_C_06</t>
  </si>
  <si>
    <t>M_C_07</t>
  </si>
  <si>
    <t>U_C_01</t>
  </si>
  <si>
    <t>U_C_02</t>
  </si>
  <si>
    <t>U_C_05</t>
  </si>
  <si>
    <t>U_C_06</t>
  </si>
  <si>
    <t>U_C_07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</si>
</sst>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ptos Narrow"/>
      <family val="2"/>
    </font>
    <font>
      <b/>
      <sz val="14"/>
      <color theme="1"/>
      <name val="Arial"/>
      <family val="2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theme="5" tint="0.79998168889431442"/>
        <bgColor rgb="FFFAE2D5"/>
      </patternFill>
    </fill>
    <fill>
      <patternFill patternType="solid">
        <fgColor theme="5" tint="0.79998168889431442"/>
        <bgColor rgb="FFF4CCCC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14" fontId="2" fillId="0" borderId="0" xfId="0" applyNumberFormat="1" applyFont="1"/>
    <xf numFmtId="0" fontId="7" fillId="0" borderId="0" xfId="0" applyFont="1"/>
    <xf numFmtId="0" fontId="8" fillId="0" borderId="0" xfId="0" applyFont="1"/>
    <xf numFmtId="2" fontId="7" fillId="0" borderId="0" xfId="0" applyNumberFormat="1" applyFont="1" applyAlignment="1">
      <alignment horizontal="center"/>
    </xf>
    <xf numFmtId="14" fontId="7" fillId="0" borderId="0" xfId="0" applyNumberFormat="1" applyFont="1"/>
    <xf numFmtId="14" fontId="9" fillId="0" borderId="0" xfId="0" applyNumberFormat="1" applyFont="1"/>
    <xf numFmtId="0" fontId="7" fillId="2" borderId="1" xfId="0" applyFont="1" applyFill="1" applyBorder="1"/>
    <xf numFmtId="2" fontId="2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8" fillId="3" borderId="1" xfId="0" applyFont="1" applyFill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4" borderId="1" xfId="0" applyFont="1" applyFill="1" applyBorder="1"/>
    <xf numFmtId="2" fontId="2" fillId="4" borderId="1" xfId="0" applyNumberFormat="1" applyFont="1" applyFill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3" borderId="5" xfId="0" applyNumberFormat="1" applyFont="1" applyFill="1" applyBorder="1" applyAlignment="1">
      <alignment horizontal="center"/>
    </xf>
    <xf numFmtId="2" fontId="2" fillId="3" borderId="6" xfId="0" applyNumberFormat="1" applyFont="1" applyFill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5" fillId="0" borderId="11" xfId="0" applyFont="1" applyBorder="1" applyAlignment="1">
      <alignment horizontal="center" wrapText="1"/>
    </xf>
    <xf numFmtId="2" fontId="5" fillId="0" borderId="11" xfId="0" applyNumberFormat="1" applyFont="1" applyBorder="1" applyAlignment="1">
      <alignment horizontal="center" wrapText="1"/>
    </xf>
    <xf numFmtId="2" fontId="6" fillId="0" borderId="11" xfId="0" applyNumberFormat="1" applyFont="1" applyBorder="1" applyAlignment="1">
      <alignment horizontal="center" wrapText="1"/>
    </xf>
    <xf numFmtId="2" fontId="5" fillId="0" borderId="12" xfId="0" applyNumberFormat="1" applyFont="1" applyBorder="1" applyAlignment="1">
      <alignment horizontal="center" wrapText="1"/>
    </xf>
    <xf numFmtId="2" fontId="5" fillId="0" borderId="10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2" fontId="11" fillId="0" borderId="1" xfId="0" applyNumberFormat="1" applyFont="1" applyBorder="1" applyAlignment="1">
      <alignment horizontal="left" vertical="center" wrapText="1"/>
    </xf>
    <xf numFmtId="2" fontId="10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2" fontId="10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4" fontId="10" fillId="3" borderId="1" xfId="0" applyNumberFormat="1" applyFont="1" applyFill="1" applyBorder="1" applyAlignment="1">
      <alignment horizontal="left" vertical="center"/>
    </xf>
    <xf numFmtId="2" fontId="1" fillId="5" borderId="1" xfId="0" applyNumberFormat="1" applyFont="1" applyFill="1" applyBorder="1" applyAlignment="1">
      <alignment horizontal="left" vertical="center"/>
    </xf>
    <xf numFmtId="2" fontId="10" fillId="3" borderId="1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2" fontId="1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04"/>
  <sheetViews>
    <sheetView workbookViewId="0">
      <pane ySplit="5" topLeftCell="A102" activePane="bottomLeft" state="frozen"/>
      <selection pane="bottomLeft" activeCell="AE5" sqref="A5:AE114"/>
    </sheetView>
  </sheetViews>
  <sheetFormatPr defaultColWidth="12.5546875" defaultRowHeight="15" customHeight="1"/>
  <cols>
    <col min="1" max="2" width="9.5546875" customWidth="1"/>
    <col min="3" max="3" width="13.5546875" customWidth="1"/>
    <col min="4" max="4" width="12.88671875" customWidth="1"/>
    <col min="5" max="5" width="11" customWidth="1"/>
    <col min="6" max="6" width="9.6640625" customWidth="1"/>
    <col min="7" max="7" width="13.44140625" customWidth="1"/>
    <col min="8" max="8" width="14.109375" hidden="1" customWidth="1"/>
    <col min="9" max="9" width="15.6640625" hidden="1" customWidth="1"/>
    <col min="10" max="10" width="6.33203125" hidden="1" customWidth="1"/>
    <col min="11" max="11" width="10.5546875" hidden="1" customWidth="1"/>
    <col min="12" max="12" width="14" hidden="1" customWidth="1"/>
    <col min="13" max="16" width="15.33203125" hidden="1" customWidth="1"/>
    <col min="17" max="17" width="14" hidden="1" customWidth="1"/>
    <col min="18" max="18" width="14.6640625" hidden="1" customWidth="1"/>
    <col min="19" max="19" width="13.109375" bestFit="1" customWidth="1"/>
    <col min="20" max="20" width="9.44140625" customWidth="1"/>
    <col min="21" max="21" width="8" customWidth="1"/>
    <col min="22" max="22" width="7.88671875" customWidth="1"/>
    <col min="23" max="23" width="11" customWidth="1"/>
    <col min="24" max="24" width="7.5546875" customWidth="1"/>
    <col min="25" max="25" width="6.5546875" customWidth="1"/>
    <col min="26" max="27" width="8.109375" customWidth="1"/>
    <col min="28" max="28" width="7" customWidth="1"/>
    <col min="29" max="29" width="8" customWidth="1"/>
    <col min="30" max="30" width="9.109375" customWidth="1"/>
    <col min="31" max="31" width="7.6640625" customWidth="1"/>
    <col min="32" max="33" width="7" customWidth="1"/>
    <col min="34" max="34" width="7.6640625" customWidth="1"/>
    <col min="35" max="35" width="8" customWidth="1"/>
    <col min="36" max="36" width="7" customWidth="1"/>
    <col min="37" max="37" width="7.44140625" customWidth="1"/>
    <col min="38" max="41" width="7" customWidth="1"/>
    <col min="42" max="42" width="7.44140625" customWidth="1"/>
    <col min="43" max="43" width="7.5546875" customWidth="1"/>
    <col min="44" max="44" width="7.109375" customWidth="1"/>
    <col min="45" max="45" width="21.33203125" customWidth="1"/>
  </cols>
  <sheetData>
    <row r="1" spans="1:45" ht="15" customHeight="1" thickBot="1"/>
    <row r="2" spans="1:45" ht="15" customHeight="1">
      <c r="K2" s="1"/>
      <c r="L2" s="1"/>
      <c r="M2" s="1"/>
      <c r="N2" s="1"/>
      <c r="O2" s="1"/>
      <c r="P2" s="1"/>
      <c r="Q2" s="1"/>
      <c r="R2" s="1"/>
      <c r="S2" s="1"/>
      <c r="T2" s="2"/>
      <c r="U2" s="51" t="s">
        <v>0</v>
      </c>
      <c r="V2" s="52"/>
      <c r="W2" s="52"/>
      <c r="X2" s="52"/>
      <c r="Y2" s="52"/>
      <c r="Z2" s="52"/>
      <c r="AA2" s="52"/>
      <c r="AB2" s="52"/>
      <c r="AC2" s="52"/>
      <c r="AD2" s="52"/>
      <c r="AE2" s="53"/>
      <c r="AF2" s="1"/>
      <c r="AG2" s="1"/>
      <c r="AH2" s="51" t="s">
        <v>1</v>
      </c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3"/>
    </row>
    <row r="3" spans="1:45" ht="15" customHeight="1">
      <c r="K3" s="1"/>
      <c r="L3" s="1"/>
      <c r="M3" s="1"/>
      <c r="N3" s="1"/>
      <c r="O3" s="1"/>
      <c r="P3" s="1"/>
      <c r="Q3" s="1"/>
      <c r="R3" s="1"/>
      <c r="S3" s="1"/>
      <c r="T3" s="2"/>
      <c r="U3" s="54"/>
      <c r="V3" s="55"/>
      <c r="W3" s="55"/>
      <c r="X3" s="55"/>
      <c r="Y3" s="55"/>
      <c r="Z3" s="55"/>
      <c r="AA3" s="55"/>
      <c r="AB3" s="55"/>
      <c r="AC3" s="55"/>
      <c r="AD3" s="55"/>
      <c r="AE3" s="56"/>
      <c r="AF3" s="1"/>
      <c r="AG3" s="1"/>
      <c r="AH3" s="54"/>
      <c r="AI3" s="55"/>
      <c r="AJ3" s="55"/>
      <c r="AK3" s="55"/>
      <c r="AL3" s="55"/>
      <c r="AM3" s="55"/>
      <c r="AN3" s="55"/>
      <c r="AO3" s="55"/>
      <c r="AP3" s="55"/>
      <c r="AQ3" s="55"/>
      <c r="AR3" s="56"/>
      <c r="AS3" s="4"/>
    </row>
    <row r="4" spans="1:45" ht="15" customHeight="1">
      <c r="K4" s="1"/>
      <c r="L4" s="1"/>
      <c r="M4" s="1"/>
      <c r="N4" s="1"/>
      <c r="O4" s="1"/>
      <c r="P4" s="1"/>
      <c r="Q4" s="1"/>
      <c r="R4" s="1"/>
      <c r="S4" s="1"/>
      <c r="T4" s="1" t="s">
        <v>2</v>
      </c>
      <c r="U4" s="22" t="s">
        <v>3</v>
      </c>
      <c r="V4" s="12" t="s">
        <v>3</v>
      </c>
      <c r="W4" s="12" t="s">
        <v>3</v>
      </c>
      <c r="X4" s="12" t="s">
        <v>3</v>
      </c>
      <c r="Y4" s="12" t="s">
        <v>3</v>
      </c>
      <c r="Z4" s="12" t="s">
        <v>3</v>
      </c>
      <c r="AA4" s="12" t="s">
        <v>3</v>
      </c>
      <c r="AB4" s="12" t="s">
        <v>3</v>
      </c>
      <c r="AC4" s="12" t="s">
        <v>3</v>
      </c>
      <c r="AD4" s="12" t="s">
        <v>3</v>
      </c>
      <c r="AE4" s="23" t="s">
        <v>3</v>
      </c>
      <c r="AF4" s="1"/>
      <c r="AG4" s="1"/>
      <c r="AH4" s="22" t="s">
        <v>4</v>
      </c>
      <c r="AI4" s="12" t="s">
        <v>4</v>
      </c>
      <c r="AJ4" s="12" t="s">
        <v>4</v>
      </c>
      <c r="AK4" s="12" t="s">
        <v>4</v>
      </c>
      <c r="AL4" s="12" t="s">
        <v>4</v>
      </c>
      <c r="AM4" s="12" t="s">
        <v>4</v>
      </c>
      <c r="AN4" s="12" t="s">
        <v>4</v>
      </c>
      <c r="AO4" s="12" t="s">
        <v>4</v>
      </c>
      <c r="AP4" s="12" t="s">
        <v>4</v>
      </c>
      <c r="AQ4" s="12" t="s">
        <v>4</v>
      </c>
      <c r="AR4" s="23" t="s">
        <v>4</v>
      </c>
      <c r="AS4" s="4"/>
    </row>
    <row r="5" spans="1:45" ht="43.8" thickBot="1">
      <c r="A5" s="31" t="s">
        <v>5</v>
      </c>
      <c r="B5" s="31" t="s">
        <v>343</v>
      </c>
      <c r="C5" s="31" t="s">
        <v>6</v>
      </c>
      <c r="D5" s="31" t="s">
        <v>7</v>
      </c>
      <c r="E5" s="31" t="s">
        <v>8</v>
      </c>
      <c r="F5" s="31" t="s">
        <v>9</v>
      </c>
      <c r="G5" s="31" t="s">
        <v>10</v>
      </c>
      <c r="H5" s="31" t="s">
        <v>11</v>
      </c>
      <c r="I5" s="31" t="s">
        <v>12</v>
      </c>
      <c r="J5" s="31" t="s">
        <v>13</v>
      </c>
      <c r="K5" s="32" t="s">
        <v>14</v>
      </c>
      <c r="L5" s="32" t="s">
        <v>15</v>
      </c>
      <c r="M5" s="32" t="s">
        <v>16</v>
      </c>
      <c r="N5" s="32" t="s">
        <v>17</v>
      </c>
      <c r="O5" s="32" t="s">
        <v>18</v>
      </c>
      <c r="P5" s="32" t="s">
        <v>19</v>
      </c>
      <c r="Q5" s="32" t="s">
        <v>20</v>
      </c>
      <c r="R5" s="32" t="s">
        <v>21</v>
      </c>
      <c r="S5" s="32" t="s">
        <v>22</v>
      </c>
      <c r="T5" s="33" t="s">
        <v>23</v>
      </c>
      <c r="U5" s="34" t="s">
        <v>24</v>
      </c>
      <c r="V5" s="32" t="s">
        <v>25</v>
      </c>
      <c r="W5" s="32" t="s">
        <v>26</v>
      </c>
      <c r="X5" s="32" t="s">
        <v>27</v>
      </c>
      <c r="Y5" s="32" t="s">
        <v>28</v>
      </c>
      <c r="Z5" s="32" t="s">
        <v>29</v>
      </c>
      <c r="AA5" s="32" t="s">
        <v>30</v>
      </c>
      <c r="AB5" s="32" t="s">
        <v>31</v>
      </c>
      <c r="AC5" s="32" t="s">
        <v>32</v>
      </c>
      <c r="AD5" s="32" t="s">
        <v>33</v>
      </c>
      <c r="AE5" s="35" t="s">
        <v>34</v>
      </c>
      <c r="AF5" s="32"/>
      <c r="AG5" s="32"/>
      <c r="AH5" s="34" t="s">
        <v>24</v>
      </c>
      <c r="AI5" s="32" t="s">
        <v>25</v>
      </c>
      <c r="AJ5" s="32" t="s">
        <v>26</v>
      </c>
      <c r="AK5" s="32" t="s">
        <v>27</v>
      </c>
      <c r="AL5" s="32" t="s">
        <v>28</v>
      </c>
      <c r="AM5" s="32" t="s">
        <v>29</v>
      </c>
      <c r="AN5" s="32" t="s">
        <v>30</v>
      </c>
      <c r="AO5" s="32" t="s">
        <v>31</v>
      </c>
      <c r="AP5" s="32" t="s">
        <v>32</v>
      </c>
      <c r="AQ5" s="32" t="s">
        <v>33</v>
      </c>
      <c r="AR5" s="35" t="s">
        <v>34</v>
      </c>
      <c r="AS5" s="4"/>
    </row>
    <row r="6" spans="1:45" thickTop="1">
      <c r="A6" s="29" t="s">
        <v>35</v>
      </c>
      <c r="B6" s="29">
        <v>1</v>
      </c>
      <c r="C6" s="4" t="s">
        <v>36</v>
      </c>
      <c r="D6" s="4" t="s">
        <v>37</v>
      </c>
      <c r="E6" s="5">
        <v>45806</v>
      </c>
      <c r="F6" s="5" t="s">
        <v>38</v>
      </c>
      <c r="G6" s="5" t="s">
        <v>39</v>
      </c>
      <c r="H6" s="4">
        <v>291.23</v>
      </c>
      <c r="I6" s="4">
        <v>262.12</v>
      </c>
      <c r="J6" s="4" t="s">
        <v>40</v>
      </c>
      <c r="K6" s="1">
        <v>2.62</v>
      </c>
      <c r="L6" s="1">
        <v>10.01</v>
      </c>
      <c r="M6" s="1">
        <v>10.23</v>
      </c>
      <c r="N6" s="1">
        <f t="shared" ref="N6:N37" si="0">M6-K6</f>
        <v>7.61</v>
      </c>
      <c r="O6" s="1">
        <f t="shared" ref="O6:O37" si="1">L6-N6</f>
        <v>2.3999999999999995</v>
      </c>
      <c r="P6" s="1">
        <f t="shared" ref="P6:P37" si="2">(L6-N6)/N6</f>
        <v>0.3153745072273324</v>
      </c>
      <c r="Q6" s="1">
        <f t="shared" ref="Q6:Q37" si="3">(1-P6)*I6</f>
        <v>179.45403416557164</v>
      </c>
      <c r="R6" s="1">
        <v>20.03</v>
      </c>
      <c r="S6" s="1">
        <f t="shared" ref="S6:S37" si="4">(1-P6)*R6</f>
        <v>13.713048620236533</v>
      </c>
      <c r="T6" s="13">
        <v>6.6909999999999998</v>
      </c>
      <c r="U6" s="22">
        <v>12.99</v>
      </c>
      <c r="V6" s="12">
        <v>15.58</v>
      </c>
      <c r="W6" s="12">
        <v>0.41564807297872902</v>
      </c>
      <c r="X6" s="12">
        <v>0.265902418434938</v>
      </c>
      <c r="Y6" s="12">
        <v>8.8651816117142399</v>
      </c>
      <c r="Z6" s="12">
        <v>1.82729932488559</v>
      </c>
      <c r="AA6" s="12">
        <v>19.742822891524</v>
      </c>
      <c r="AB6" s="12">
        <v>1.05359739269139</v>
      </c>
      <c r="AC6" s="12">
        <v>35.036787163397499</v>
      </c>
      <c r="AD6" s="12">
        <v>1.4113893316046899</v>
      </c>
      <c r="AE6" s="23">
        <v>1.79758898747551</v>
      </c>
      <c r="AF6" s="1"/>
      <c r="AG6" s="1"/>
      <c r="AH6" s="22">
        <f>U6/$S6</f>
        <v>0.94727294854263699</v>
      </c>
      <c r="AI6" s="12">
        <f t="shared" ref="AI6:AI37" si="5">V6/$S6</f>
        <v>1.1361441522936324</v>
      </c>
      <c r="AJ6" s="12">
        <f t="shared" ref="AJ6:AJ37" si="6">W6/$S6</f>
        <v>3.0310406131379967E-2</v>
      </c>
      <c r="AK6" s="12">
        <f t="shared" ref="AK6:AK37" si="7">X6/$S6</f>
        <v>1.9390467123593668E-2</v>
      </c>
      <c r="AL6" s="12">
        <f t="shared" ref="AL6:AL37" si="8">Y6/$S6</f>
        <v>0.64647780790565934</v>
      </c>
      <c r="AM6" s="12">
        <f t="shared" ref="AM6:AM37" si="9">Z6/$S6</f>
        <v>0.13325259579325194</v>
      </c>
      <c r="AN6" s="12">
        <f t="shared" ref="AN6:AN37" si="10">AA6/$S6</f>
        <v>1.4397107046196311</v>
      </c>
      <c r="AO6" s="12">
        <f t="shared" ref="AO6:AO37" si="11">AB6/$S6</f>
        <v>7.6831740473564863E-2</v>
      </c>
      <c r="AP6" s="12">
        <f t="shared" ref="AP6:AP37" si="12">AC6/$S6</f>
        <v>2.5549962035205822</v>
      </c>
      <c r="AQ6" s="12">
        <f t="shared" ref="AQ6:AQ37" si="13">AD6/$S6</f>
        <v>0.10292308958358709</v>
      </c>
      <c r="AR6" s="23">
        <f t="shared" ref="AR6:AR37" si="14">AE6/$S6</f>
        <v>0.13108602158842952</v>
      </c>
      <c r="AS6" s="1"/>
    </row>
    <row r="7" spans="1:45" ht="14.4">
      <c r="A7" s="29" t="s">
        <v>41</v>
      </c>
      <c r="B7" s="29">
        <v>2</v>
      </c>
      <c r="C7" s="4" t="s">
        <v>42</v>
      </c>
      <c r="D7" s="4" t="s">
        <v>37</v>
      </c>
      <c r="F7" s="5" t="s">
        <v>38</v>
      </c>
      <c r="G7" s="5" t="s">
        <v>39</v>
      </c>
      <c r="H7" s="4">
        <v>290.7</v>
      </c>
      <c r="I7" s="4">
        <v>198.27</v>
      </c>
      <c r="J7" s="4" t="s">
        <v>43</v>
      </c>
      <c r="K7" s="1">
        <v>2.56</v>
      </c>
      <c r="L7" s="1">
        <v>10.02</v>
      </c>
      <c r="M7" s="1">
        <v>10.52</v>
      </c>
      <c r="N7" s="1">
        <f t="shared" si="0"/>
        <v>7.9599999999999991</v>
      </c>
      <c r="O7" s="1">
        <f t="shared" si="1"/>
        <v>2.0600000000000005</v>
      </c>
      <c r="P7" s="1">
        <f t="shared" si="2"/>
        <v>0.2587939698492463</v>
      </c>
      <c r="Q7" s="1">
        <f t="shared" si="3"/>
        <v>146.95891959798993</v>
      </c>
      <c r="R7" s="1">
        <v>19.989999999999998</v>
      </c>
      <c r="S7" s="1">
        <f t="shared" si="4"/>
        <v>14.816708542713565</v>
      </c>
      <c r="T7" s="13">
        <v>7.0490000000000004</v>
      </c>
      <c r="U7" s="22">
        <v>25.92</v>
      </c>
      <c r="V7" s="12">
        <v>17.79</v>
      </c>
      <c r="W7" s="12">
        <v>0.27993560260962302</v>
      </c>
      <c r="X7" s="12">
        <v>0.227417763592206</v>
      </c>
      <c r="Y7" s="12">
        <v>10.353585311014999</v>
      </c>
      <c r="Z7" s="12">
        <v>2.3872013741934901</v>
      </c>
      <c r="AA7" s="12">
        <v>38.703957659942304</v>
      </c>
      <c r="AB7" s="12">
        <v>0.69095027171002898</v>
      </c>
      <c r="AC7" s="12">
        <v>34.3924177306438</v>
      </c>
      <c r="AD7" s="12">
        <v>1.7626552961164599</v>
      </c>
      <c r="AE7" s="23">
        <v>2.3846115695019803</v>
      </c>
      <c r="AF7" s="1"/>
      <c r="AG7" s="1"/>
      <c r="AH7" s="22">
        <f t="shared" ref="AH7:AH37" si="15">U7/$S7</f>
        <v>1.7493763831068081</v>
      </c>
      <c r="AI7" s="12">
        <f t="shared" si="5"/>
        <v>1.200671522201779</v>
      </c>
      <c r="AJ7" s="12">
        <f t="shared" si="6"/>
        <v>1.8893238117131443E-2</v>
      </c>
      <c r="AK7" s="12">
        <f t="shared" si="7"/>
        <v>1.5348737065091531E-2</v>
      </c>
      <c r="AL7" s="12">
        <f t="shared" si="8"/>
        <v>0.6987776860945677</v>
      </c>
      <c r="AM7" s="12">
        <f t="shared" si="9"/>
        <v>0.16111549790641241</v>
      </c>
      <c r="AN7" s="12">
        <f t="shared" si="10"/>
        <v>2.6121832354579051</v>
      </c>
      <c r="AO7" s="12">
        <f t="shared" si="11"/>
        <v>4.6633182377729815E-2</v>
      </c>
      <c r="AP7" s="12">
        <f t="shared" si="12"/>
        <v>2.3211914867257755</v>
      </c>
      <c r="AQ7" s="12">
        <f t="shared" si="13"/>
        <v>0.11896402571698581</v>
      </c>
      <c r="AR7" s="23">
        <f t="shared" si="14"/>
        <v>0.16094070843248545</v>
      </c>
      <c r="AS7" s="1"/>
    </row>
    <row r="8" spans="1:45" ht="14.4">
      <c r="A8" s="29" t="s">
        <v>44</v>
      </c>
      <c r="B8" s="29">
        <v>3</v>
      </c>
      <c r="C8" s="4" t="s">
        <v>45</v>
      </c>
      <c r="D8" s="4" t="s">
        <v>37</v>
      </c>
      <c r="F8" s="5" t="s">
        <v>38</v>
      </c>
      <c r="G8" s="5" t="s">
        <v>39</v>
      </c>
      <c r="H8" s="4">
        <v>311.13</v>
      </c>
      <c r="I8" s="4">
        <v>258.13</v>
      </c>
      <c r="J8" s="4" t="s">
        <v>46</v>
      </c>
      <c r="K8" s="1">
        <v>2.56</v>
      </c>
      <c r="L8" s="1">
        <v>10.029999999999999</v>
      </c>
      <c r="M8" s="1">
        <v>10.48</v>
      </c>
      <c r="N8" s="1">
        <f t="shared" si="0"/>
        <v>7.92</v>
      </c>
      <c r="O8" s="1">
        <f t="shared" si="1"/>
        <v>2.1099999999999994</v>
      </c>
      <c r="P8" s="1">
        <f t="shared" si="2"/>
        <v>0.26641414141414133</v>
      </c>
      <c r="Q8" s="1">
        <f t="shared" si="3"/>
        <v>189.3605176767677</v>
      </c>
      <c r="R8" s="1">
        <v>20.05</v>
      </c>
      <c r="S8" s="1">
        <f t="shared" si="4"/>
        <v>14.708396464646468</v>
      </c>
      <c r="T8" s="13">
        <v>6.5250000000000004</v>
      </c>
      <c r="U8" s="22">
        <v>18.09</v>
      </c>
      <c r="V8" s="12">
        <v>12.25</v>
      </c>
      <c r="W8" s="12">
        <v>0.40449963211996798</v>
      </c>
      <c r="X8" s="12">
        <v>0.23262338346491301</v>
      </c>
      <c r="Y8" s="12">
        <v>10.007483142321099</v>
      </c>
      <c r="Z8" s="12">
        <v>1.45903291891474</v>
      </c>
      <c r="AA8" s="12">
        <v>14.277869149242299</v>
      </c>
      <c r="AB8" s="12">
        <v>0.72674004603381703</v>
      </c>
      <c r="AC8" s="12">
        <v>24.996027401540299</v>
      </c>
      <c r="AD8" s="12">
        <v>0.18736724641580998</v>
      </c>
      <c r="AE8" s="23">
        <v>1.2958215314700698</v>
      </c>
      <c r="AF8" s="1"/>
      <c r="AG8" s="1"/>
      <c r="AH8" s="22">
        <f t="shared" si="15"/>
        <v>1.2299097351286155</v>
      </c>
      <c r="AI8" s="12">
        <f t="shared" si="5"/>
        <v>0.83285761499864774</v>
      </c>
      <c r="AJ8" s="12">
        <f t="shared" si="6"/>
        <v>2.7501273377572813E-2</v>
      </c>
      <c r="AK8" s="12">
        <f t="shared" si="7"/>
        <v>1.5815686232285988E-2</v>
      </c>
      <c r="AL8" s="12">
        <f t="shared" si="8"/>
        <v>0.68039253404512035</v>
      </c>
      <c r="AM8" s="12">
        <f t="shared" si="9"/>
        <v>9.9197279759334345E-2</v>
      </c>
      <c r="AN8" s="12">
        <f t="shared" si="10"/>
        <v>0.97072914668577259</v>
      </c>
      <c r="AO8" s="12">
        <f t="shared" si="11"/>
        <v>4.9409876037855703E-2</v>
      </c>
      <c r="AP8" s="12">
        <f t="shared" si="12"/>
        <v>1.699439327843894</v>
      </c>
      <c r="AQ8" s="12">
        <f t="shared" si="13"/>
        <v>1.2738794937039628E-2</v>
      </c>
      <c r="AR8" s="23">
        <f t="shared" si="14"/>
        <v>8.8100802462372049E-2</v>
      </c>
      <c r="AS8" s="1"/>
    </row>
    <row r="9" spans="1:45" ht="14.4">
      <c r="A9" s="29" t="s">
        <v>47</v>
      </c>
      <c r="B9" s="29">
        <v>4</v>
      </c>
      <c r="C9" s="4" t="s">
        <v>48</v>
      </c>
      <c r="D9" s="4" t="s">
        <v>37</v>
      </c>
      <c r="E9" s="5">
        <v>45811</v>
      </c>
      <c r="F9" s="5" t="s">
        <v>38</v>
      </c>
      <c r="G9" s="5" t="s">
        <v>39</v>
      </c>
      <c r="H9" s="4">
        <v>295.68</v>
      </c>
      <c r="I9" s="4">
        <v>276.47000000000003</v>
      </c>
      <c r="J9" s="4" t="s">
        <v>49</v>
      </c>
      <c r="K9" s="1">
        <v>2.58</v>
      </c>
      <c r="L9" s="1">
        <v>10</v>
      </c>
      <c r="M9" s="1">
        <v>10.71</v>
      </c>
      <c r="N9" s="1">
        <f t="shared" si="0"/>
        <v>8.1300000000000008</v>
      </c>
      <c r="O9" s="1">
        <f t="shared" si="1"/>
        <v>1.8699999999999992</v>
      </c>
      <c r="P9" s="1">
        <f t="shared" si="2"/>
        <v>0.23001230012300111</v>
      </c>
      <c r="Q9" s="1">
        <f t="shared" si="3"/>
        <v>212.87849938499392</v>
      </c>
      <c r="R9" s="1">
        <v>20.010000000000002</v>
      </c>
      <c r="S9" s="1">
        <f t="shared" si="4"/>
        <v>15.407453874538749</v>
      </c>
      <c r="T9" s="13">
        <v>6.5220000000000002</v>
      </c>
      <c r="U9" s="22">
        <v>7.7839999999999998</v>
      </c>
      <c r="V9" s="12">
        <v>9.6229999999999993</v>
      </c>
      <c r="W9" s="12">
        <v>0.33557945934588002</v>
      </c>
      <c r="X9" s="12">
        <v>0.32784235783427795</v>
      </c>
      <c r="Y9" s="12">
        <v>9.9504680786609008</v>
      </c>
      <c r="Z9" s="12">
        <v>3.7551610978888901</v>
      </c>
      <c r="AA9" s="12">
        <v>30.539142741040401</v>
      </c>
      <c r="AB9" s="12">
        <v>0.72196663442487308</v>
      </c>
      <c r="AC9" s="12">
        <v>20.023996311865801</v>
      </c>
      <c r="AD9" s="12">
        <v>1.0430149860729401</v>
      </c>
      <c r="AE9" s="23">
        <v>1.3722007388729098</v>
      </c>
      <c r="AF9" s="1"/>
      <c r="AG9" s="1"/>
      <c r="AH9" s="22">
        <f t="shared" si="15"/>
        <v>0.5052100148009061</v>
      </c>
      <c r="AI9" s="12">
        <f t="shared" si="5"/>
        <v>0.6245678279071325</v>
      </c>
      <c r="AJ9" s="12">
        <f t="shared" si="6"/>
        <v>2.1780331914569902E-2</v>
      </c>
      <c r="AK9" s="12">
        <f t="shared" si="7"/>
        <v>2.1278165782864792E-2</v>
      </c>
      <c r="AL9" s="12">
        <f t="shared" si="8"/>
        <v>0.64582170160537222</v>
      </c>
      <c r="AM9" s="12">
        <f t="shared" si="9"/>
        <v>0.24372366313517896</v>
      </c>
      <c r="AN9" s="12">
        <f t="shared" si="10"/>
        <v>1.9821018443227141</v>
      </c>
      <c r="AO9" s="12">
        <f t="shared" si="11"/>
        <v>4.6858270049274217E-2</v>
      </c>
      <c r="AP9" s="12">
        <f t="shared" si="12"/>
        <v>1.2996304564608185</v>
      </c>
      <c r="AQ9" s="12">
        <f t="shared" si="13"/>
        <v>6.7695480029737534E-2</v>
      </c>
      <c r="AR9" s="23">
        <f t="shared" si="14"/>
        <v>8.9060837049819777E-2</v>
      </c>
      <c r="AS9" s="1"/>
    </row>
    <row r="10" spans="1:45" ht="14.4">
      <c r="A10" s="29" t="s">
        <v>50</v>
      </c>
      <c r="B10" s="29">
        <v>5</v>
      </c>
      <c r="C10" s="4" t="s">
        <v>51</v>
      </c>
      <c r="D10" s="4" t="s">
        <v>37</v>
      </c>
      <c r="E10" s="5">
        <v>45811</v>
      </c>
      <c r="F10" s="5" t="s">
        <v>38</v>
      </c>
      <c r="G10" s="5" t="s">
        <v>39</v>
      </c>
      <c r="H10" s="4">
        <v>421.86</v>
      </c>
      <c r="I10" s="4">
        <v>421.86</v>
      </c>
      <c r="J10" s="4" t="s">
        <v>52</v>
      </c>
      <c r="K10" s="1">
        <v>2.29</v>
      </c>
      <c r="L10" s="1">
        <v>10.01</v>
      </c>
      <c r="M10" s="1">
        <v>10.42</v>
      </c>
      <c r="N10" s="1">
        <f t="shared" si="0"/>
        <v>8.129999999999999</v>
      </c>
      <c r="O10" s="1">
        <f t="shared" si="1"/>
        <v>1.8800000000000008</v>
      </c>
      <c r="P10" s="1">
        <f t="shared" si="2"/>
        <v>0.23124231242312435</v>
      </c>
      <c r="Q10" s="1">
        <f t="shared" si="3"/>
        <v>324.30811808118079</v>
      </c>
      <c r="R10" s="1">
        <v>19.989999999999998</v>
      </c>
      <c r="S10" s="1">
        <f t="shared" si="4"/>
        <v>15.367466174661743</v>
      </c>
      <c r="T10" s="13">
        <v>6.4420000000000002</v>
      </c>
      <c r="U10" s="22">
        <v>6.4770000000000003</v>
      </c>
      <c r="V10" s="12">
        <v>14.343999999999999</v>
      </c>
      <c r="W10" s="12">
        <v>0.284401978929606</v>
      </c>
      <c r="X10" s="12">
        <v>0.36600963017286603</v>
      </c>
      <c r="Y10" s="12">
        <v>13.526154217652399</v>
      </c>
      <c r="Z10" s="12">
        <v>2.47247228852045</v>
      </c>
      <c r="AA10" s="12">
        <v>16.956714277934498</v>
      </c>
      <c r="AB10" s="12">
        <v>0.74416892422916003</v>
      </c>
      <c r="AC10" s="12">
        <v>17.802003061840399</v>
      </c>
      <c r="AD10" s="12">
        <v>1.25319331985251</v>
      </c>
      <c r="AE10" s="23">
        <v>0.84145242604936499</v>
      </c>
      <c r="AF10" s="1"/>
      <c r="AG10" s="1"/>
      <c r="AH10" s="22">
        <f t="shared" si="15"/>
        <v>0.42147481740870446</v>
      </c>
      <c r="AI10" s="12">
        <f t="shared" si="5"/>
        <v>0.93340046023011525</v>
      </c>
      <c r="AJ10" s="12">
        <f t="shared" si="6"/>
        <v>1.8506758088625893E-2</v>
      </c>
      <c r="AK10" s="12">
        <f t="shared" si="7"/>
        <v>2.3817174933910168E-2</v>
      </c>
      <c r="AL10" s="12">
        <f t="shared" si="8"/>
        <v>0.88018116089656051</v>
      </c>
      <c r="AM10" s="12">
        <f t="shared" si="9"/>
        <v>0.16089004266670345</v>
      </c>
      <c r="AN10" s="12">
        <f t="shared" si="10"/>
        <v>1.1034164048392796</v>
      </c>
      <c r="AO10" s="12">
        <f t="shared" si="11"/>
        <v>4.8424959311520341E-2</v>
      </c>
      <c r="AP10" s="12">
        <f t="shared" si="12"/>
        <v>1.1584214898870433</v>
      </c>
      <c r="AQ10" s="12">
        <f t="shared" si="13"/>
        <v>8.154846775708581E-2</v>
      </c>
      <c r="AR10" s="23">
        <f t="shared" si="14"/>
        <v>5.4755443512006716E-2</v>
      </c>
      <c r="AS10" s="1"/>
    </row>
    <row r="11" spans="1:45" ht="14.4">
      <c r="A11" s="29" t="s">
        <v>53</v>
      </c>
      <c r="B11" s="29">
        <v>6</v>
      </c>
      <c r="C11" s="4" t="s">
        <v>54</v>
      </c>
      <c r="D11" s="4" t="s">
        <v>37</v>
      </c>
      <c r="F11" s="5" t="s">
        <v>38</v>
      </c>
      <c r="G11" s="5" t="s">
        <v>39</v>
      </c>
      <c r="H11" s="4">
        <v>406.84</v>
      </c>
      <c r="I11" s="4">
        <v>385.25</v>
      </c>
      <c r="J11" s="4" t="s">
        <v>55</v>
      </c>
      <c r="K11" s="1">
        <v>2.57</v>
      </c>
      <c r="L11" s="1">
        <v>10.01</v>
      </c>
      <c r="M11" s="1">
        <v>10.77</v>
      </c>
      <c r="N11" s="1">
        <f t="shared" si="0"/>
        <v>8.1999999999999993</v>
      </c>
      <c r="O11" s="1">
        <f t="shared" si="1"/>
        <v>1.8100000000000005</v>
      </c>
      <c r="P11" s="1">
        <f t="shared" si="2"/>
        <v>0.22073170731707326</v>
      </c>
      <c r="Q11" s="1">
        <f t="shared" si="3"/>
        <v>300.21310975609754</v>
      </c>
      <c r="R11" s="1">
        <v>20.059999999999999</v>
      </c>
      <c r="S11" s="1">
        <f t="shared" si="4"/>
        <v>15.63212195121951</v>
      </c>
      <c r="T11" s="13">
        <v>6.9710000000000001</v>
      </c>
      <c r="U11" s="22">
        <v>14.8</v>
      </c>
      <c r="V11" s="12">
        <v>8.6440000000000001</v>
      </c>
      <c r="W11" s="12">
        <v>0.48874674386085498</v>
      </c>
      <c r="X11" s="12">
        <v>0.38996785605087902</v>
      </c>
      <c r="Y11" s="12">
        <v>5.8854388195362599</v>
      </c>
      <c r="Z11" s="12">
        <v>3.2968778947103199</v>
      </c>
      <c r="AA11" s="12">
        <v>16.378328999163202</v>
      </c>
      <c r="AB11" s="12">
        <v>1.02268971239978</v>
      </c>
      <c r="AC11" s="12">
        <v>13.876931305942</v>
      </c>
      <c r="AD11" s="12">
        <v>1.07034751957261</v>
      </c>
      <c r="AE11" s="23">
        <v>1.02605766544335</v>
      </c>
      <c r="AF11" s="1"/>
      <c r="AG11" s="1"/>
      <c r="AH11" s="22">
        <f t="shared" si="15"/>
        <v>0.94676845831831602</v>
      </c>
      <c r="AI11" s="12">
        <f t="shared" si="5"/>
        <v>0.55296395633131912</v>
      </c>
      <c r="AJ11" s="12">
        <f t="shared" si="6"/>
        <v>3.1265540621164767E-2</v>
      </c>
      <c r="AK11" s="12">
        <f t="shared" si="7"/>
        <v>2.4946572018039844E-2</v>
      </c>
      <c r="AL11" s="12">
        <f t="shared" si="8"/>
        <v>0.37649647552021043</v>
      </c>
      <c r="AM11" s="12">
        <f t="shared" si="9"/>
        <v>0.21090405416477193</v>
      </c>
      <c r="AN11" s="12">
        <f t="shared" si="10"/>
        <v>1.0477354929978318</v>
      </c>
      <c r="AO11" s="12">
        <f t="shared" si="11"/>
        <v>6.5422321780185241E-2</v>
      </c>
      <c r="AP11" s="12">
        <f t="shared" si="12"/>
        <v>0.88771897694026225</v>
      </c>
      <c r="AQ11" s="12">
        <f t="shared" si="13"/>
        <v>6.8471031822337394E-2</v>
      </c>
      <c r="AR11" s="23">
        <f t="shared" si="14"/>
        <v>6.5637772571452077E-2</v>
      </c>
      <c r="AS11" s="1"/>
    </row>
    <row r="12" spans="1:45" ht="14.4">
      <c r="A12" s="29" t="s">
        <v>56</v>
      </c>
      <c r="B12" s="29">
        <v>7</v>
      </c>
      <c r="C12" s="4" t="s">
        <v>57</v>
      </c>
      <c r="D12" s="4" t="s">
        <v>37</v>
      </c>
      <c r="E12" s="5">
        <v>45811</v>
      </c>
      <c r="F12" s="5" t="s">
        <v>38</v>
      </c>
      <c r="G12" s="5" t="s">
        <v>39</v>
      </c>
      <c r="H12" s="4">
        <v>307.55</v>
      </c>
      <c r="I12" s="4">
        <v>260.92</v>
      </c>
      <c r="J12" s="4" t="s">
        <v>58</v>
      </c>
      <c r="K12" s="1">
        <v>2.34</v>
      </c>
      <c r="L12" s="1">
        <v>10.01</v>
      </c>
      <c r="M12" s="1">
        <v>10.210000000000001</v>
      </c>
      <c r="N12" s="1">
        <f t="shared" si="0"/>
        <v>7.870000000000001</v>
      </c>
      <c r="O12" s="1">
        <f t="shared" si="1"/>
        <v>2.1399999999999988</v>
      </c>
      <c r="P12" s="1">
        <f t="shared" si="2"/>
        <v>0.27191867852604812</v>
      </c>
      <c r="Q12" s="1">
        <f t="shared" si="3"/>
        <v>189.97097839898353</v>
      </c>
      <c r="R12" s="1">
        <v>20.03</v>
      </c>
      <c r="S12" s="1">
        <f t="shared" si="4"/>
        <v>14.583468869123257</v>
      </c>
      <c r="T12" s="13">
        <v>7.0750000000000002</v>
      </c>
      <c r="U12" s="22">
        <v>8.8849999999999998</v>
      </c>
      <c r="V12" s="12">
        <v>12.01</v>
      </c>
      <c r="W12" s="12">
        <v>0.32920870726971097</v>
      </c>
      <c r="X12" s="12">
        <v>0.16747180844940002</v>
      </c>
      <c r="Y12" s="12">
        <v>7.2566337234074894</v>
      </c>
      <c r="Z12" s="12">
        <v>2.9348311376583802</v>
      </c>
      <c r="AA12" s="12">
        <v>30.323433930577899</v>
      </c>
      <c r="AB12" s="12">
        <v>0.96574436578739897</v>
      </c>
      <c r="AC12" s="12">
        <v>25.358670174862098</v>
      </c>
      <c r="AD12" s="12">
        <v>0.93216263632759899</v>
      </c>
      <c r="AE12" s="23">
        <v>1.5616173224460801</v>
      </c>
      <c r="AF12" s="1"/>
      <c r="AG12" s="1"/>
      <c r="AH12" s="22">
        <f t="shared" si="15"/>
        <v>0.60925148054532496</v>
      </c>
      <c r="AI12" s="12">
        <f t="shared" si="5"/>
        <v>0.82353520330324737</v>
      </c>
      <c r="AJ12" s="12">
        <f t="shared" si="6"/>
        <v>2.2574101554584568E-2</v>
      </c>
      <c r="AK12" s="12">
        <f t="shared" si="7"/>
        <v>1.1483674422892517E-2</v>
      </c>
      <c r="AL12" s="12">
        <f t="shared" si="8"/>
        <v>0.497593116461581</v>
      </c>
      <c r="AM12" s="12">
        <f t="shared" si="9"/>
        <v>0.20124369338985804</v>
      </c>
      <c r="AN12" s="12">
        <f t="shared" si="10"/>
        <v>2.0793018590234023</v>
      </c>
      <c r="AO12" s="12">
        <f t="shared" si="11"/>
        <v>6.6221855338692029E-2</v>
      </c>
      <c r="AP12" s="12">
        <f t="shared" si="12"/>
        <v>1.7388640797631185</v>
      </c>
      <c r="AQ12" s="12">
        <f t="shared" si="13"/>
        <v>6.3919129576997524E-2</v>
      </c>
      <c r="AR12" s="23">
        <f t="shared" si="14"/>
        <v>0.10708133548064158</v>
      </c>
      <c r="AS12" s="1"/>
    </row>
    <row r="13" spans="1:45" ht="14.4">
      <c r="A13" s="29" t="s">
        <v>59</v>
      </c>
      <c r="B13" s="29">
        <v>8</v>
      </c>
      <c r="C13" s="4" t="s">
        <v>60</v>
      </c>
      <c r="D13" s="4" t="s">
        <v>37</v>
      </c>
      <c r="E13" s="5">
        <v>45811</v>
      </c>
      <c r="F13" s="5" t="s">
        <v>38</v>
      </c>
      <c r="G13" s="5" t="s">
        <v>39</v>
      </c>
      <c r="H13" s="4">
        <v>296.64</v>
      </c>
      <c r="I13" s="4">
        <v>193.54</v>
      </c>
      <c r="J13" s="4" t="s">
        <v>61</v>
      </c>
      <c r="K13" s="1">
        <v>2.61</v>
      </c>
      <c r="L13" s="1">
        <v>10.02</v>
      </c>
      <c r="M13" s="1">
        <v>10.91</v>
      </c>
      <c r="N13" s="1">
        <f t="shared" si="0"/>
        <v>8.3000000000000007</v>
      </c>
      <c r="O13" s="1">
        <f t="shared" si="1"/>
        <v>1.7199999999999989</v>
      </c>
      <c r="P13" s="1">
        <f t="shared" si="2"/>
        <v>0.20722891566265045</v>
      </c>
      <c r="Q13" s="1">
        <f t="shared" si="3"/>
        <v>153.43291566265063</v>
      </c>
      <c r="R13" s="1">
        <v>20.04</v>
      </c>
      <c r="S13" s="1">
        <f t="shared" si="4"/>
        <v>15.887132530120484</v>
      </c>
      <c r="T13" s="13">
        <v>6.8849999999999998</v>
      </c>
      <c r="U13" s="22">
        <v>6.6420000000000003</v>
      </c>
      <c r="V13" s="12">
        <v>7.42</v>
      </c>
      <c r="W13" s="12">
        <v>0.60600026465366896</v>
      </c>
      <c r="X13" s="12">
        <v>0.33688967009885001</v>
      </c>
      <c r="Y13" s="12">
        <v>6.1256681317302695</v>
      </c>
      <c r="Z13" s="12">
        <v>2.4449094288246802</v>
      </c>
      <c r="AA13" s="12">
        <v>19.108971356404201</v>
      </c>
      <c r="AB13" s="12">
        <v>1.2558661923088399</v>
      </c>
      <c r="AC13" s="12">
        <v>15.077911538207999</v>
      </c>
      <c r="AD13" s="12">
        <v>1.1899201005259701</v>
      </c>
      <c r="AE13" s="23">
        <v>0.82661758112572603</v>
      </c>
      <c r="AF13" s="1"/>
      <c r="AG13" s="1"/>
      <c r="AH13" s="22">
        <f t="shared" si="15"/>
        <v>0.41807418597455542</v>
      </c>
      <c r="AI13" s="12">
        <f t="shared" si="5"/>
        <v>0.46704463413598329</v>
      </c>
      <c r="AJ13" s="12">
        <f t="shared" si="6"/>
        <v>3.8144093246830442E-2</v>
      </c>
      <c r="AK13" s="12">
        <f t="shared" si="7"/>
        <v>2.1205190392925812E-2</v>
      </c>
      <c r="AL13" s="12">
        <f t="shared" si="8"/>
        <v>0.38557418213240108</v>
      </c>
      <c r="AM13" s="12">
        <f t="shared" si="9"/>
        <v>0.15389242987615076</v>
      </c>
      <c r="AN13" s="12">
        <f t="shared" si="10"/>
        <v>1.2027954900090005</v>
      </c>
      <c r="AO13" s="12">
        <f t="shared" si="11"/>
        <v>7.904926769685075E-2</v>
      </c>
      <c r="AP13" s="12">
        <f t="shared" si="12"/>
        <v>0.94906437707507763</v>
      </c>
      <c r="AQ13" s="12">
        <f t="shared" si="13"/>
        <v>7.4898355525768762E-2</v>
      </c>
      <c r="AR13" s="23">
        <f t="shared" si="14"/>
        <v>5.2030634197740726E-2</v>
      </c>
      <c r="AS13" s="1"/>
    </row>
    <row r="14" spans="1:45" ht="14.4">
      <c r="A14" s="29" t="s">
        <v>62</v>
      </c>
      <c r="B14" s="29">
        <v>9</v>
      </c>
      <c r="C14" s="4" t="s">
        <v>63</v>
      </c>
      <c r="D14" s="4" t="s">
        <v>37</v>
      </c>
      <c r="E14" s="5">
        <v>45811</v>
      </c>
      <c r="F14" s="5" t="s">
        <v>38</v>
      </c>
      <c r="G14" s="5" t="s">
        <v>39</v>
      </c>
      <c r="H14" s="4">
        <v>366.57</v>
      </c>
      <c r="I14" s="4">
        <v>267.19</v>
      </c>
      <c r="J14" s="4" t="s">
        <v>64</v>
      </c>
      <c r="K14" s="1">
        <v>2.58</v>
      </c>
      <c r="L14" s="1">
        <v>10.01</v>
      </c>
      <c r="M14" s="1">
        <v>10.08</v>
      </c>
      <c r="N14" s="1">
        <f t="shared" si="0"/>
        <v>7.5</v>
      </c>
      <c r="O14" s="1">
        <f t="shared" si="1"/>
        <v>2.5099999999999998</v>
      </c>
      <c r="P14" s="1">
        <f t="shared" si="2"/>
        <v>0.33466666666666661</v>
      </c>
      <c r="Q14" s="1">
        <f t="shared" si="3"/>
        <v>177.77041333333332</v>
      </c>
      <c r="R14" s="1">
        <v>20</v>
      </c>
      <c r="S14" s="1">
        <f t="shared" si="4"/>
        <v>13.306666666666667</v>
      </c>
      <c r="T14" s="13">
        <v>6.5359999999999996</v>
      </c>
      <c r="U14" s="22">
        <v>11.98</v>
      </c>
      <c r="V14" s="12">
        <v>13.55</v>
      </c>
      <c r="W14" s="12">
        <v>0.37668701058851106</v>
      </c>
      <c r="X14" s="12">
        <v>0.15531691515523399</v>
      </c>
      <c r="Y14" s="12">
        <v>9.8787021010370708</v>
      </c>
      <c r="Z14" s="12">
        <v>2.7898102071411</v>
      </c>
      <c r="AA14" s="12">
        <v>22.676577010478901</v>
      </c>
      <c r="AB14" s="12">
        <v>1.3070406738984699</v>
      </c>
      <c r="AC14" s="12">
        <v>28.345343617054798</v>
      </c>
      <c r="AD14" s="12">
        <v>0.64598322358293392</v>
      </c>
      <c r="AE14" s="23">
        <v>1.39397046086256</v>
      </c>
      <c r="AF14" s="1"/>
      <c r="AG14" s="1"/>
      <c r="AH14" s="22">
        <f t="shared" si="15"/>
        <v>0.90030060120240485</v>
      </c>
      <c r="AI14" s="12">
        <f t="shared" si="5"/>
        <v>1.0182865731462927</v>
      </c>
      <c r="AJ14" s="12">
        <f t="shared" si="6"/>
        <v>2.8308142078294921E-2</v>
      </c>
      <c r="AK14" s="12">
        <f t="shared" si="7"/>
        <v>1.1672112862367284E-2</v>
      </c>
      <c r="AL14" s="12">
        <f t="shared" si="8"/>
        <v>0.7423874324426657</v>
      </c>
      <c r="AM14" s="12">
        <f t="shared" si="9"/>
        <v>0.2096550756869564</v>
      </c>
      <c r="AN14" s="12">
        <f t="shared" si="10"/>
        <v>1.7041515789438053</v>
      </c>
      <c r="AO14" s="12">
        <f t="shared" si="11"/>
        <v>9.8224499541468183E-2</v>
      </c>
      <c r="AP14" s="12">
        <f t="shared" si="12"/>
        <v>2.1301610934660418</v>
      </c>
      <c r="AQ14" s="12">
        <f t="shared" si="13"/>
        <v>4.8545833435591226E-2</v>
      </c>
      <c r="AR14" s="23">
        <f t="shared" si="14"/>
        <v>0.10475729916301804</v>
      </c>
      <c r="AS14" s="1"/>
    </row>
    <row r="15" spans="1:45" ht="14.4">
      <c r="A15" s="29" t="s">
        <v>65</v>
      </c>
      <c r="B15" s="29">
        <v>10</v>
      </c>
      <c r="C15" s="4" t="s">
        <v>66</v>
      </c>
      <c r="D15" s="4" t="s">
        <v>37</v>
      </c>
      <c r="F15" s="5" t="s">
        <v>38</v>
      </c>
      <c r="G15" s="5" t="s">
        <v>39</v>
      </c>
      <c r="H15" s="4">
        <v>214.77</v>
      </c>
      <c r="I15" s="4">
        <v>134.44</v>
      </c>
      <c r="J15" s="4" t="s">
        <v>67</v>
      </c>
      <c r="K15" s="1">
        <v>2.59</v>
      </c>
      <c r="L15" s="1">
        <v>10.01</v>
      </c>
      <c r="M15" s="1">
        <v>10.68</v>
      </c>
      <c r="N15" s="1">
        <f t="shared" si="0"/>
        <v>8.09</v>
      </c>
      <c r="O15" s="1">
        <f t="shared" si="1"/>
        <v>1.92</v>
      </c>
      <c r="P15" s="1">
        <f t="shared" si="2"/>
        <v>0.2373300370828183</v>
      </c>
      <c r="Q15" s="1">
        <f t="shared" si="3"/>
        <v>102.5333498145859</v>
      </c>
      <c r="R15" s="1">
        <v>19.989999999999998</v>
      </c>
      <c r="S15" s="1">
        <f t="shared" si="4"/>
        <v>15.24577255871446</v>
      </c>
      <c r="T15" s="13">
        <v>6.5259999999999998</v>
      </c>
      <c r="U15" s="22">
        <v>11.05</v>
      </c>
      <c r="V15" s="12">
        <v>10.94</v>
      </c>
      <c r="W15" s="12">
        <v>0.33500661171114104</v>
      </c>
      <c r="X15" s="12">
        <v>6.5460277724446195E-2</v>
      </c>
      <c r="Y15" s="12">
        <v>6.8131747697404901</v>
      </c>
      <c r="Z15" s="12">
        <v>2.3862020084602702</v>
      </c>
      <c r="AA15" s="12">
        <v>23.872751599473602</v>
      </c>
      <c r="AB15" s="12">
        <v>0.76596427661900401</v>
      </c>
      <c r="AC15" s="12">
        <v>21.216336671277499</v>
      </c>
      <c r="AD15" s="12">
        <v>2.1815852482779001</v>
      </c>
      <c r="AE15" s="23">
        <v>1.0554368482114</v>
      </c>
      <c r="AF15" s="1"/>
      <c r="AG15" s="1"/>
      <c r="AH15" s="22">
        <f t="shared" si="15"/>
        <v>0.72479108273747905</v>
      </c>
      <c r="AI15" s="12">
        <f t="shared" si="5"/>
        <v>0.71757596788669864</v>
      </c>
      <c r="AJ15" s="12">
        <f t="shared" si="6"/>
        <v>2.1973737993333225E-2</v>
      </c>
      <c r="AK15" s="12">
        <f t="shared" si="7"/>
        <v>4.293667472235062E-3</v>
      </c>
      <c r="AL15" s="12">
        <f t="shared" si="8"/>
        <v>0.44688944056469543</v>
      </c>
      <c r="AM15" s="12">
        <f t="shared" si="9"/>
        <v>0.15651565043821417</v>
      </c>
      <c r="AN15" s="12">
        <f t="shared" si="10"/>
        <v>1.5658604054031997</v>
      </c>
      <c r="AO15" s="12">
        <f t="shared" si="11"/>
        <v>5.0241092976372657E-2</v>
      </c>
      <c r="AP15" s="12">
        <f t="shared" si="12"/>
        <v>1.3916209617826336</v>
      </c>
      <c r="AQ15" s="12">
        <f t="shared" si="13"/>
        <v>0.14309443748266529</v>
      </c>
      <c r="AR15" s="23">
        <f t="shared" si="14"/>
        <v>6.9228164341735107E-2</v>
      </c>
      <c r="AS15" s="1"/>
    </row>
    <row r="16" spans="1:45" ht="14.4">
      <c r="A16" s="29" t="s">
        <v>68</v>
      </c>
      <c r="B16" s="29">
        <v>11</v>
      </c>
      <c r="C16" s="4" t="s">
        <v>69</v>
      </c>
      <c r="D16" s="4" t="s">
        <v>37</v>
      </c>
      <c r="F16" s="5" t="s">
        <v>38</v>
      </c>
      <c r="G16" s="5" t="s">
        <v>39</v>
      </c>
      <c r="H16" s="4">
        <v>301.42</v>
      </c>
      <c r="I16" s="4">
        <v>193.05</v>
      </c>
      <c r="J16" s="4" t="s">
        <v>70</v>
      </c>
      <c r="K16" s="1">
        <v>2.56</v>
      </c>
      <c r="L16" s="1">
        <v>10</v>
      </c>
      <c r="M16" s="1">
        <v>10.61</v>
      </c>
      <c r="N16" s="1">
        <f t="shared" si="0"/>
        <v>8.0499999999999989</v>
      </c>
      <c r="O16" s="1">
        <f t="shared" si="1"/>
        <v>1.9500000000000011</v>
      </c>
      <c r="P16" s="1">
        <f t="shared" si="2"/>
        <v>0.24223602484472065</v>
      </c>
      <c r="Q16" s="1">
        <f t="shared" si="3"/>
        <v>146.2863354037267</v>
      </c>
      <c r="R16" s="1">
        <v>20</v>
      </c>
      <c r="S16" s="1">
        <f t="shared" si="4"/>
        <v>15.155279503105588</v>
      </c>
      <c r="T16" s="13">
        <v>6.3369999999999997</v>
      </c>
      <c r="U16" s="22">
        <v>18.420000000000002</v>
      </c>
      <c r="V16" s="12">
        <v>11.24</v>
      </c>
      <c r="W16" s="12">
        <v>0.49988947405611206</v>
      </c>
      <c r="X16" s="12">
        <v>4.0101575390599997E-2</v>
      </c>
      <c r="Y16" s="12">
        <v>9.6131420366061704</v>
      </c>
      <c r="Z16" s="12">
        <v>1.8954218671371101</v>
      </c>
      <c r="AA16" s="12">
        <v>21.408999565826299</v>
      </c>
      <c r="AB16" s="12">
        <v>1.04221844783031</v>
      </c>
      <c r="AC16" s="12">
        <v>17.641231463094201</v>
      </c>
      <c r="AD16" s="12">
        <v>0.185384296494321</v>
      </c>
      <c r="AE16" s="23">
        <v>0.89632708176043008</v>
      </c>
      <c r="AF16" s="1"/>
      <c r="AG16" s="1"/>
      <c r="AH16" s="22">
        <f t="shared" si="15"/>
        <v>1.2154180327868855</v>
      </c>
      <c r="AI16" s="12">
        <f t="shared" si="5"/>
        <v>0.74165573770491822</v>
      </c>
      <c r="AJ16" s="12">
        <f t="shared" si="6"/>
        <v>3.2984510378292649E-2</v>
      </c>
      <c r="AK16" s="12">
        <f t="shared" si="7"/>
        <v>2.6460465729043446E-3</v>
      </c>
      <c r="AL16" s="12">
        <f t="shared" si="8"/>
        <v>0.63430978192360399</v>
      </c>
      <c r="AM16" s="12">
        <f t="shared" si="9"/>
        <v>0.12506677074142408</v>
      </c>
      <c r="AN16" s="12">
        <f t="shared" si="10"/>
        <v>1.4126430041385389</v>
      </c>
      <c r="AO16" s="12">
        <f t="shared" si="11"/>
        <v>6.876933200847539E-2</v>
      </c>
      <c r="AP16" s="12">
        <f t="shared" si="12"/>
        <v>1.1640320760484291</v>
      </c>
      <c r="AQ16" s="12">
        <f t="shared" si="13"/>
        <v>1.2232324481797412E-2</v>
      </c>
      <c r="AR16" s="23">
        <f t="shared" si="14"/>
        <v>5.9142893509602161E-2</v>
      </c>
      <c r="AS16" s="1"/>
    </row>
    <row r="17" spans="1:45" ht="14.4">
      <c r="A17" s="29" t="s">
        <v>71</v>
      </c>
      <c r="B17" s="29">
        <v>12</v>
      </c>
      <c r="C17" s="4" t="s">
        <v>72</v>
      </c>
      <c r="D17" s="4" t="s">
        <v>37</v>
      </c>
      <c r="E17" s="5">
        <v>45811</v>
      </c>
      <c r="F17" s="5" t="s">
        <v>38</v>
      </c>
      <c r="G17" s="5" t="s">
        <v>39</v>
      </c>
      <c r="H17" s="4">
        <v>391.97</v>
      </c>
      <c r="I17" s="4">
        <v>208.24</v>
      </c>
      <c r="J17" s="4" t="s">
        <v>73</v>
      </c>
      <c r="K17" s="1">
        <v>2.57</v>
      </c>
      <c r="L17" s="1">
        <v>10.029999999999999</v>
      </c>
      <c r="M17" s="1">
        <v>10.45</v>
      </c>
      <c r="N17" s="1">
        <f t="shared" si="0"/>
        <v>7.879999999999999</v>
      </c>
      <c r="O17" s="1">
        <f t="shared" si="1"/>
        <v>2.1500000000000004</v>
      </c>
      <c r="P17" s="1">
        <f t="shared" si="2"/>
        <v>0.2728426395939087</v>
      </c>
      <c r="Q17" s="1">
        <f t="shared" si="3"/>
        <v>151.42324873096445</v>
      </c>
      <c r="R17" s="1">
        <v>20.03</v>
      </c>
      <c r="S17" s="1">
        <f t="shared" si="4"/>
        <v>14.564961928934009</v>
      </c>
      <c r="T17" s="13">
        <v>6.9729999999999999</v>
      </c>
      <c r="U17" s="22">
        <v>8.98</v>
      </c>
      <c r="V17" s="12">
        <v>8.9710000000000001</v>
      </c>
      <c r="W17" s="12">
        <v>0.51385370716780499</v>
      </c>
      <c r="X17" s="12">
        <v>0.42468709095043999</v>
      </c>
      <c r="Y17" s="12">
        <v>7.9957770247522095</v>
      </c>
      <c r="Z17" s="12">
        <v>1.88879750379941</v>
      </c>
      <c r="AA17" s="12">
        <v>27.875158699100304</v>
      </c>
      <c r="AB17" s="12">
        <v>1.0775520366178599</v>
      </c>
      <c r="AC17" s="12">
        <v>17.743215198369498</v>
      </c>
      <c r="AD17" s="12">
        <v>0.75769907867387398</v>
      </c>
      <c r="AE17" s="23">
        <v>1.1781224727057</v>
      </c>
      <c r="AF17" s="1"/>
      <c r="AG17" s="1"/>
      <c r="AH17" s="22">
        <f t="shared" si="15"/>
        <v>0.61654812719838226</v>
      </c>
      <c r="AI17" s="12">
        <f t="shared" si="5"/>
        <v>0.61593020591277137</v>
      </c>
      <c r="AJ17" s="12">
        <f t="shared" si="6"/>
        <v>3.5280127038781299E-2</v>
      </c>
      <c r="AK17" s="12">
        <f t="shared" si="7"/>
        <v>2.9158132580269801E-2</v>
      </c>
      <c r="AL17" s="12">
        <f t="shared" si="8"/>
        <v>0.54897342428806539</v>
      </c>
      <c r="AM17" s="12">
        <f t="shared" si="9"/>
        <v>0.1296809090895886</v>
      </c>
      <c r="AN17" s="12">
        <f t="shared" si="10"/>
        <v>1.9138504333282833</v>
      </c>
      <c r="AO17" s="12">
        <f t="shared" si="11"/>
        <v>7.3982482197722063E-2</v>
      </c>
      <c r="AP17" s="12">
        <f t="shared" si="12"/>
        <v>1.218212260694052</v>
      </c>
      <c r="AQ17" s="12">
        <f t="shared" si="13"/>
        <v>5.2022043200035263E-2</v>
      </c>
      <c r="AR17" s="23">
        <f t="shared" si="14"/>
        <v>8.0887439215704515E-2</v>
      </c>
      <c r="AS17" s="1"/>
    </row>
    <row r="18" spans="1:45" ht="14.4">
      <c r="A18" s="29" t="s">
        <v>74</v>
      </c>
      <c r="B18" s="29">
        <v>13</v>
      </c>
      <c r="C18" s="4" t="s">
        <v>75</v>
      </c>
      <c r="D18" s="4" t="s">
        <v>37</v>
      </c>
      <c r="F18" s="5" t="s">
        <v>38</v>
      </c>
      <c r="G18" s="5" t="s">
        <v>39</v>
      </c>
      <c r="H18" s="4">
        <v>251.49</v>
      </c>
      <c r="I18" s="4">
        <v>191.25</v>
      </c>
      <c r="J18" s="4" t="s">
        <v>76</v>
      </c>
      <c r="K18" s="1">
        <v>2.6</v>
      </c>
      <c r="L18" s="1">
        <v>10.01</v>
      </c>
      <c r="M18" s="1">
        <v>10.82</v>
      </c>
      <c r="N18" s="1">
        <f t="shared" si="0"/>
        <v>8.2200000000000006</v>
      </c>
      <c r="O18" s="1">
        <f t="shared" si="1"/>
        <v>1.7899999999999991</v>
      </c>
      <c r="P18" s="1">
        <f t="shared" si="2"/>
        <v>0.21776155717761544</v>
      </c>
      <c r="Q18" s="1">
        <f t="shared" si="3"/>
        <v>149.60310218978105</v>
      </c>
      <c r="R18" s="1">
        <v>20.010000000000002</v>
      </c>
      <c r="S18" s="1">
        <f t="shared" si="4"/>
        <v>15.652591240875916</v>
      </c>
      <c r="T18" s="13">
        <v>6.8760000000000003</v>
      </c>
      <c r="U18" s="22">
        <v>10.61</v>
      </c>
      <c r="V18" s="12">
        <v>14.14</v>
      </c>
      <c r="W18" s="12">
        <v>0.48217043839312801</v>
      </c>
      <c r="X18" s="12">
        <v>0.22203061293225998</v>
      </c>
      <c r="Y18" s="12">
        <v>11.1973341312281</v>
      </c>
      <c r="Z18" s="12">
        <v>1.8403407944637502</v>
      </c>
      <c r="AA18" s="12">
        <v>20.392261447693301</v>
      </c>
      <c r="AB18" s="12">
        <v>0.94547366572349301</v>
      </c>
      <c r="AC18" s="12">
        <v>30.240200635283699</v>
      </c>
      <c r="AD18" s="12">
        <v>1.7918920458924001</v>
      </c>
      <c r="AE18" s="23">
        <v>1.1570826580670299</v>
      </c>
      <c r="AF18" s="1"/>
      <c r="AG18" s="1"/>
      <c r="AH18" s="22">
        <f t="shared" si="15"/>
        <v>0.67784303804551826</v>
      </c>
      <c r="AI18" s="12">
        <f t="shared" si="5"/>
        <v>0.90336480282409326</v>
      </c>
      <c r="AJ18" s="12">
        <f t="shared" si="6"/>
        <v>3.0804512235262704E-2</v>
      </c>
      <c r="AK18" s="12">
        <f t="shared" si="7"/>
        <v>1.4184910952790919E-2</v>
      </c>
      <c r="AL18" s="12">
        <f t="shared" si="8"/>
        <v>0.71536616263170871</v>
      </c>
      <c r="AM18" s="12">
        <f t="shared" si="9"/>
        <v>0.11757419370013301</v>
      </c>
      <c r="AN18" s="12">
        <f t="shared" si="10"/>
        <v>1.3028041896628582</v>
      </c>
      <c r="AO18" s="12">
        <f t="shared" si="11"/>
        <v>6.0403651457685704E-2</v>
      </c>
      <c r="AP18" s="12">
        <f t="shared" si="12"/>
        <v>1.9319613072315471</v>
      </c>
      <c r="AQ18" s="12">
        <f t="shared" si="13"/>
        <v>0.11447893951341223</v>
      </c>
      <c r="AR18" s="23">
        <f t="shared" si="14"/>
        <v>7.3922754402821797E-2</v>
      </c>
      <c r="AS18" s="1"/>
    </row>
    <row r="19" spans="1:45" ht="14.4">
      <c r="A19" s="29" t="s">
        <v>77</v>
      </c>
      <c r="B19" s="29">
        <v>14</v>
      </c>
      <c r="C19" s="4" t="s">
        <v>78</v>
      </c>
      <c r="D19" s="4" t="s">
        <v>37</v>
      </c>
      <c r="E19" s="5">
        <v>45807</v>
      </c>
      <c r="F19" s="5" t="s">
        <v>38</v>
      </c>
      <c r="G19" s="5" t="s">
        <v>39</v>
      </c>
      <c r="H19" s="4">
        <v>449.17</v>
      </c>
      <c r="I19" s="4">
        <v>380.8</v>
      </c>
      <c r="J19" s="4" t="s">
        <v>79</v>
      </c>
      <c r="K19" s="1">
        <v>2.57</v>
      </c>
      <c r="L19" s="1">
        <v>9.99</v>
      </c>
      <c r="M19" s="1">
        <v>10.86</v>
      </c>
      <c r="N19" s="1">
        <f t="shared" si="0"/>
        <v>8.2899999999999991</v>
      </c>
      <c r="O19" s="1">
        <f t="shared" si="1"/>
        <v>1.7000000000000011</v>
      </c>
      <c r="P19" s="1">
        <f t="shared" si="2"/>
        <v>0.20506634499396878</v>
      </c>
      <c r="Q19" s="1">
        <f t="shared" si="3"/>
        <v>302.71073582629668</v>
      </c>
      <c r="R19" s="1">
        <v>20.010000000000002</v>
      </c>
      <c r="S19" s="1">
        <f t="shared" si="4"/>
        <v>15.906622436670686</v>
      </c>
      <c r="T19" s="13">
        <v>7.0039999999999996</v>
      </c>
      <c r="U19" s="22">
        <v>6.52</v>
      </c>
      <c r="V19" s="12">
        <v>14.744999999999999</v>
      </c>
      <c r="W19" s="12">
        <v>0.28168615000992403</v>
      </c>
      <c r="X19" s="12">
        <v>0.20820054835181098</v>
      </c>
      <c r="Y19" s="12">
        <v>6.3800985809208202</v>
      </c>
      <c r="Z19" s="12">
        <v>1.02335485104403</v>
      </c>
      <c r="AA19" s="12">
        <v>32.131042060914801</v>
      </c>
      <c r="AB19" s="12">
        <v>0.62702291601790994</v>
      </c>
      <c r="AC19" s="12">
        <v>17.8205389589607</v>
      </c>
      <c r="AD19" s="12">
        <v>0.51006757177256001</v>
      </c>
      <c r="AE19" s="23">
        <v>0.80826242231578993</v>
      </c>
      <c r="AF19" s="1"/>
      <c r="AG19" s="1"/>
      <c r="AH19" s="22">
        <f t="shared" si="15"/>
        <v>0.40989217075832346</v>
      </c>
      <c r="AI19" s="12">
        <f t="shared" si="5"/>
        <v>0.92697240150789562</v>
      </c>
      <c r="AJ19" s="12">
        <f t="shared" si="6"/>
        <v>1.7708734279159893E-2</v>
      </c>
      <c r="AK19" s="12">
        <f t="shared" si="7"/>
        <v>1.3088922502606916E-2</v>
      </c>
      <c r="AL19" s="12">
        <f t="shared" si="8"/>
        <v>0.40109700260517395</v>
      </c>
      <c r="AM19" s="12">
        <f t="shared" si="9"/>
        <v>6.4335144378910775E-2</v>
      </c>
      <c r="AN19" s="12">
        <f t="shared" si="10"/>
        <v>2.0199789231710681</v>
      </c>
      <c r="AO19" s="12">
        <f t="shared" si="11"/>
        <v>3.9418985300888811E-2</v>
      </c>
      <c r="AP19" s="12">
        <f t="shared" si="12"/>
        <v>1.1203219935539379</v>
      </c>
      <c r="AQ19" s="12">
        <f t="shared" si="13"/>
        <v>3.2066365679030914E-2</v>
      </c>
      <c r="AR19" s="23">
        <f t="shared" si="14"/>
        <v>5.0812950740092011E-2</v>
      </c>
      <c r="AS19" s="1"/>
    </row>
    <row r="20" spans="1:45" ht="14.4">
      <c r="A20" s="29" t="s">
        <v>80</v>
      </c>
      <c r="B20" s="29">
        <v>15</v>
      </c>
      <c r="C20" s="4" t="s">
        <v>81</v>
      </c>
      <c r="D20" s="4" t="s">
        <v>37</v>
      </c>
      <c r="E20" s="5">
        <v>45806</v>
      </c>
      <c r="F20" s="5" t="s">
        <v>38</v>
      </c>
      <c r="G20" s="5" t="s">
        <v>39</v>
      </c>
      <c r="H20" s="4">
        <v>333</v>
      </c>
      <c r="I20" s="4">
        <v>253.83</v>
      </c>
      <c r="J20" s="4" t="s">
        <v>82</v>
      </c>
      <c r="K20" s="1">
        <v>2.33</v>
      </c>
      <c r="L20" s="1">
        <v>10.01</v>
      </c>
      <c r="M20" s="1">
        <v>9.8800000000000008</v>
      </c>
      <c r="N20" s="1">
        <f t="shared" si="0"/>
        <v>7.5500000000000007</v>
      </c>
      <c r="O20" s="1">
        <f t="shared" si="1"/>
        <v>2.4599999999999991</v>
      </c>
      <c r="P20" s="1">
        <f t="shared" si="2"/>
        <v>0.32582781456953624</v>
      </c>
      <c r="Q20" s="1">
        <f t="shared" si="3"/>
        <v>171.12512582781463</v>
      </c>
      <c r="R20" s="1">
        <v>20.010000000000002</v>
      </c>
      <c r="S20" s="1">
        <f t="shared" si="4"/>
        <v>13.490185430463582</v>
      </c>
      <c r="T20" s="13">
        <v>7.0659999999999998</v>
      </c>
      <c r="U20" s="22">
        <v>21.49</v>
      </c>
      <c r="V20" s="12">
        <v>17.66</v>
      </c>
      <c r="W20" s="12">
        <v>0.28511774093150599</v>
      </c>
      <c r="X20" s="12">
        <v>3.5311958542540399E-2</v>
      </c>
      <c r="Y20" s="12">
        <v>10.064861315037399</v>
      </c>
      <c r="Z20" s="12">
        <v>3.2646072210193298</v>
      </c>
      <c r="AA20" s="12">
        <v>61.2204335734911</v>
      </c>
      <c r="AB20" s="12">
        <v>0.58772673221409999</v>
      </c>
      <c r="AC20" s="12">
        <v>35.372990627089102</v>
      </c>
      <c r="AD20" s="12">
        <v>0.61017601278507405</v>
      </c>
      <c r="AE20" s="23">
        <v>1.94949485487045</v>
      </c>
      <c r="AF20" s="1"/>
      <c r="AG20" s="1"/>
      <c r="AH20" s="22">
        <f t="shared" si="15"/>
        <v>1.5930099783114329</v>
      </c>
      <c r="AI20" s="12">
        <f t="shared" si="5"/>
        <v>1.309099870496971</v>
      </c>
      <c r="AJ20" s="12">
        <f t="shared" si="6"/>
        <v>2.11351980594464E-2</v>
      </c>
      <c r="AK20" s="12">
        <f t="shared" si="7"/>
        <v>2.6176036441129132E-3</v>
      </c>
      <c r="AL20" s="12">
        <f t="shared" si="8"/>
        <v>0.74608769219056814</v>
      </c>
      <c r="AM20" s="12">
        <f t="shared" si="9"/>
        <v>0.24199869140769428</v>
      </c>
      <c r="AN20" s="12">
        <f t="shared" si="10"/>
        <v>4.538146187022968</v>
      </c>
      <c r="AO20" s="12">
        <f t="shared" si="11"/>
        <v>4.3566986921239316E-2</v>
      </c>
      <c r="AP20" s="12">
        <f t="shared" si="12"/>
        <v>2.6221278283699272</v>
      </c>
      <c r="AQ20" s="12">
        <f t="shared" si="13"/>
        <v>4.5231106416608075E-2</v>
      </c>
      <c r="AR20" s="23">
        <f t="shared" si="14"/>
        <v>0.14451208731854007</v>
      </c>
      <c r="AS20" s="1"/>
    </row>
    <row r="21" spans="1:45" ht="14.4">
      <c r="A21" s="29" t="s">
        <v>83</v>
      </c>
      <c r="B21" s="29">
        <v>16</v>
      </c>
      <c r="C21" s="4" t="s">
        <v>84</v>
      </c>
      <c r="D21" s="4" t="s">
        <v>37</v>
      </c>
      <c r="E21" s="5">
        <v>45806</v>
      </c>
      <c r="F21" s="5" t="s">
        <v>38</v>
      </c>
      <c r="G21" s="5" t="s">
        <v>39</v>
      </c>
      <c r="H21" s="4">
        <v>536.30999999999995</v>
      </c>
      <c r="I21" s="4">
        <v>269.56</v>
      </c>
      <c r="J21" s="4" t="s">
        <v>85</v>
      </c>
      <c r="K21" s="1">
        <v>2.61</v>
      </c>
      <c r="L21" s="1">
        <v>10.01</v>
      </c>
      <c r="M21" s="1">
        <v>8.66</v>
      </c>
      <c r="N21" s="1">
        <f t="shared" si="0"/>
        <v>6.0500000000000007</v>
      </c>
      <c r="O21" s="1">
        <f t="shared" si="1"/>
        <v>3.9599999999999991</v>
      </c>
      <c r="P21" s="1">
        <f t="shared" si="2"/>
        <v>0.65454545454545432</v>
      </c>
      <c r="Q21" s="1">
        <f t="shared" si="3"/>
        <v>93.120727272727336</v>
      </c>
      <c r="R21" s="1">
        <v>20.010000000000002</v>
      </c>
      <c r="S21" s="1">
        <f t="shared" si="4"/>
        <v>6.9125454545454597</v>
      </c>
      <c r="T21" s="13">
        <v>6.63</v>
      </c>
      <c r="U21" s="22">
        <v>8.5739999999999998</v>
      </c>
      <c r="V21" s="12">
        <v>12.07</v>
      </c>
      <c r="W21" s="12">
        <v>0.85143552961069402</v>
      </c>
      <c r="X21" s="12">
        <v>0.30860424115182999</v>
      </c>
      <c r="Y21" s="12">
        <v>5.2246531765378004</v>
      </c>
      <c r="Z21" s="12">
        <v>2.2919658306656903</v>
      </c>
      <c r="AA21" s="12">
        <v>20.156277983134402</v>
      </c>
      <c r="AB21" s="12">
        <v>1.4196379610033198</v>
      </c>
      <c r="AC21" s="12">
        <v>26.3053053611536</v>
      </c>
      <c r="AD21" s="12">
        <v>0.243456397308178</v>
      </c>
      <c r="AE21" s="23">
        <v>1.2711187343183701</v>
      </c>
      <c r="AF21" s="1"/>
      <c r="AG21" s="1"/>
      <c r="AH21" s="22">
        <f t="shared" si="15"/>
        <v>1.2403535074567971</v>
      </c>
      <c r="AI21" s="12">
        <f t="shared" si="5"/>
        <v>1.7461006338935783</v>
      </c>
      <c r="AJ21" s="12">
        <f t="shared" si="6"/>
        <v>0.1231725035602939</v>
      </c>
      <c r="AK21" s="12">
        <f t="shared" si="7"/>
        <v>4.4644081283964958E-2</v>
      </c>
      <c r="AL21" s="12">
        <f t="shared" si="8"/>
        <v>0.7558218909218517</v>
      </c>
      <c r="AM21" s="12">
        <f t="shared" si="9"/>
        <v>0.33156611348697457</v>
      </c>
      <c r="AN21" s="12">
        <f t="shared" si="10"/>
        <v>2.9158980748372954</v>
      </c>
      <c r="AO21" s="12">
        <f t="shared" si="11"/>
        <v>0.20537122979347835</v>
      </c>
      <c r="AP21" s="12">
        <f t="shared" si="12"/>
        <v>3.8054441065347508</v>
      </c>
      <c r="AQ21" s="12">
        <f t="shared" si="13"/>
        <v>3.5219500386516688E-2</v>
      </c>
      <c r="AR21" s="23">
        <f t="shared" si="14"/>
        <v>0.18388576866174888</v>
      </c>
      <c r="AS21" s="1"/>
    </row>
    <row r="22" spans="1:45" ht="14.4">
      <c r="A22" s="29" t="s">
        <v>86</v>
      </c>
      <c r="B22" s="29">
        <v>17</v>
      </c>
      <c r="C22" s="4" t="s">
        <v>87</v>
      </c>
      <c r="D22" s="4" t="s">
        <v>37</v>
      </c>
      <c r="E22" s="5">
        <v>45806</v>
      </c>
      <c r="F22" s="5" t="s">
        <v>38</v>
      </c>
      <c r="G22" s="5" t="s">
        <v>39</v>
      </c>
      <c r="H22" s="4">
        <v>366.45</v>
      </c>
      <c r="I22" s="4">
        <v>122.08</v>
      </c>
      <c r="J22" s="4" t="s">
        <v>88</v>
      </c>
      <c r="K22" s="1">
        <v>2.59</v>
      </c>
      <c r="L22" s="1">
        <v>10.01</v>
      </c>
      <c r="M22" s="1">
        <v>9.81</v>
      </c>
      <c r="N22" s="1">
        <f t="shared" si="0"/>
        <v>7.2200000000000006</v>
      </c>
      <c r="O22" s="1">
        <f t="shared" si="1"/>
        <v>2.7899999999999991</v>
      </c>
      <c r="P22" s="1">
        <f t="shared" si="2"/>
        <v>0.3864265927977838</v>
      </c>
      <c r="Q22" s="1">
        <f t="shared" si="3"/>
        <v>74.905041551246555</v>
      </c>
      <c r="R22" s="1">
        <v>19.989999999999998</v>
      </c>
      <c r="S22" s="1">
        <f t="shared" si="4"/>
        <v>12.2653324099723</v>
      </c>
      <c r="T22" s="13">
        <v>6.6660000000000004</v>
      </c>
      <c r="U22" s="22">
        <v>12.52</v>
      </c>
      <c r="V22" s="12">
        <v>14.98</v>
      </c>
      <c r="W22" s="12">
        <v>0.77212313896849194</v>
      </c>
      <c r="X22" s="12">
        <v>0.28588844632557503</v>
      </c>
      <c r="Y22" s="12">
        <v>8.7625220761664302</v>
      </c>
      <c r="Z22" s="12">
        <v>2.8254500873209096</v>
      </c>
      <c r="AA22" s="12">
        <v>23.489394985058798</v>
      </c>
      <c r="AB22" s="12">
        <v>1.5334060051179699</v>
      </c>
      <c r="AC22" s="12">
        <v>30.921316513035698</v>
      </c>
      <c r="AD22" s="12">
        <v>0.33672511654790505</v>
      </c>
      <c r="AE22" s="23">
        <v>1.48718914293991</v>
      </c>
      <c r="AF22" s="1"/>
      <c r="AG22" s="1"/>
      <c r="AH22" s="22">
        <f t="shared" si="15"/>
        <v>1.0207632032720648</v>
      </c>
      <c r="AI22" s="12">
        <f t="shared" si="5"/>
        <v>1.2213284972057135</v>
      </c>
      <c r="AJ22" s="12">
        <f t="shared" si="6"/>
        <v>6.295166842284021E-2</v>
      </c>
      <c r="AK22" s="12">
        <f t="shared" si="7"/>
        <v>2.3308658646147583E-2</v>
      </c>
      <c r="AL22" s="12">
        <f t="shared" si="8"/>
        <v>0.71441374626276588</v>
      </c>
      <c r="AM22" s="12">
        <f t="shared" si="9"/>
        <v>0.23036066148714274</v>
      </c>
      <c r="AN22" s="12">
        <f t="shared" si="10"/>
        <v>1.9151046380088972</v>
      </c>
      <c r="AO22" s="12">
        <f t="shared" si="11"/>
        <v>0.12501952281955583</v>
      </c>
      <c r="AP22" s="12">
        <f t="shared" si="12"/>
        <v>2.5210337135172294</v>
      </c>
      <c r="AQ22" s="12">
        <f t="shared" si="13"/>
        <v>2.7453403241980746E-2</v>
      </c>
      <c r="AR22" s="23">
        <f t="shared" si="14"/>
        <v>0.12125143397913572</v>
      </c>
      <c r="AS22" s="1"/>
    </row>
    <row r="23" spans="1:45" ht="14.4">
      <c r="A23" s="29" t="s">
        <v>89</v>
      </c>
      <c r="B23" s="29">
        <v>18</v>
      </c>
      <c r="C23" s="4" t="s">
        <v>90</v>
      </c>
      <c r="D23" s="4" t="s">
        <v>37</v>
      </c>
      <c r="E23" s="5">
        <v>45804</v>
      </c>
      <c r="F23" s="5" t="s">
        <v>91</v>
      </c>
      <c r="G23" s="5" t="s">
        <v>39</v>
      </c>
      <c r="H23" s="4">
        <v>317.06</v>
      </c>
      <c r="I23" s="4">
        <v>264.33</v>
      </c>
      <c r="J23" s="4" t="s">
        <v>92</v>
      </c>
      <c r="K23" s="1">
        <v>2.59</v>
      </c>
      <c r="L23" s="1">
        <v>10</v>
      </c>
      <c r="M23" s="1">
        <v>10.73</v>
      </c>
      <c r="N23" s="1">
        <f t="shared" si="0"/>
        <v>8.14</v>
      </c>
      <c r="O23" s="1">
        <f t="shared" si="1"/>
        <v>1.8599999999999994</v>
      </c>
      <c r="P23" s="1">
        <f t="shared" si="2"/>
        <v>0.22850122850122842</v>
      </c>
      <c r="Q23" s="1">
        <f t="shared" si="3"/>
        <v>203.93027027027028</v>
      </c>
      <c r="R23" s="1">
        <v>20.010000000000002</v>
      </c>
      <c r="S23" s="1">
        <f t="shared" si="4"/>
        <v>15.437690417690421</v>
      </c>
      <c r="T23" s="13">
        <v>7.8710000000000004</v>
      </c>
      <c r="U23" s="22">
        <v>18.89</v>
      </c>
      <c r="V23" s="12">
        <v>24.92</v>
      </c>
      <c r="W23" s="12">
        <v>0.54453264149301506</v>
      </c>
      <c r="X23" s="12">
        <v>0.24752941919996499</v>
      </c>
      <c r="Y23" s="12">
        <v>12.2822009518773</v>
      </c>
      <c r="Z23" s="12">
        <v>6.064371588055451</v>
      </c>
      <c r="AA23" s="12">
        <v>56.927964639725602</v>
      </c>
      <c r="AB23" s="12">
        <v>1.1383011471862101</v>
      </c>
      <c r="AC23" s="12">
        <v>56.570728341123697</v>
      </c>
      <c r="AD23" s="12">
        <v>2.4493441803190099</v>
      </c>
      <c r="AE23" s="23">
        <v>3.2222010299591002</v>
      </c>
      <c r="AF23" s="1"/>
      <c r="AG23" s="1"/>
      <c r="AH23" s="22">
        <f t="shared" si="15"/>
        <v>1.2236286315441003</v>
      </c>
      <c r="AI23" s="12">
        <f t="shared" si="5"/>
        <v>1.6142311010100043</v>
      </c>
      <c r="AJ23" s="12">
        <f t="shared" si="6"/>
        <v>3.5272934406627432E-2</v>
      </c>
      <c r="AK23" s="12">
        <f t="shared" si="7"/>
        <v>1.6034096584571684E-2</v>
      </c>
      <c r="AL23" s="12">
        <f t="shared" si="8"/>
        <v>0.79559834532002471</v>
      </c>
      <c r="AM23" s="12">
        <f t="shared" si="9"/>
        <v>0.39282894163405052</v>
      </c>
      <c r="AN23" s="12">
        <f t="shared" si="10"/>
        <v>3.6875959485811736</v>
      </c>
      <c r="AO23" s="12">
        <f t="shared" si="11"/>
        <v>7.3735197195158378E-2</v>
      </c>
      <c r="AP23" s="12">
        <f t="shared" si="12"/>
        <v>3.6644554211488747</v>
      </c>
      <c r="AQ23" s="12">
        <f t="shared" si="13"/>
        <v>0.15866001416327455</v>
      </c>
      <c r="AR23" s="23">
        <f t="shared" si="14"/>
        <v>0.20872299824504206</v>
      </c>
      <c r="AS23" s="1"/>
    </row>
    <row r="24" spans="1:45" ht="14.4">
      <c r="A24" s="29" t="s">
        <v>93</v>
      </c>
      <c r="B24" s="29">
        <v>19</v>
      </c>
      <c r="C24" s="4" t="s">
        <v>94</v>
      </c>
      <c r="D24" s="4" t="s">
        <v>37</v>
      </c>
      <c r="E24" s="5">
        <v>45812</v>
      </c>
      <c r="F24" s="5" t="s">
        <v>91</v>
      </c>
      <c r="G24" s="5" t="s">
        <v>39</v>
      </c>
      <c r="H24" s="4">
        <v>234.76</v>
      </c>
      <c r="I24" s="4">
        <v>149.1</v>
      </c>
      <c r="J24" s="4" t="s">
        <v>95</v>
      </c>
      <c r="K24" s="1">
        <v>2.6</v>
      </c>
      <c r="L24" s="1">
        <v>10.01</v>
      </c>
      <c r="M24" s="1">
        <v>11</v>
      </c>
      <c r="N24" s="1">
        <f t="shared" si="0"/>
        <v>8.4</v>
      </c>
      <c r="O24" s="1">
        <f t="shared" si="1"/>
        <v>1.6099999999999994</v>
      </c>
      <c r="P24" s="1">
        <f t="shared" si="2"/>
        <v>0.1916666666666666</v>
      </c>
      <c r="Q24" s="1">
        <f t="shared" si="3"/>
        <v>120.52249999999999</v>
      </c>
      <c r="R24" s="1">
        <v>20.010000000000002</v>
      </c>
      <c r="S24" s="1">
        <f t="shared" si="4"/>
        <v>16.174750000000003</v>
      </c>
      <c r="T24" s="13">
        <v>6.6020000000000003</v>
      </c>
      <c r="U24" s="22">
        <v>13.21</v>
      </c>
      <c r="V24" s="12">
        <v>23.38</v>
      </c>
      <c r="W24" s="12">
        <v>0.53161795551748503</v>
      </c>
      <c r="X24" s="12">
        <v>0.21098524251418299</v>
      </c>
      <c r="Y24" s="12">
        <v>12.739948524404801</v>
      </c>
      <c r="Z24" s="12">
        <v>2.8436729000538303</v>
      </c>
      <c r="AA24" s="12">
        <v>52.295790990206903</v>
      </c>
      <c r="AB24" s="12">
        <v>1.14617506341398</v>
      </c>
      <c r="AC24" s="12">
        <v>26.977462748177203</v>
      </c>
      <c r="AD24" s="12">
        <v>1.05167615920661</v>
      </c>
      <c r="AE24" s="23">
        <v>4.0422825524564399</v>
      </c>
      <c r="AF24" s="1"/>
      <c r="AG24" s="1"/>
      <c r="AH24" s="22">
        <f t="shared" si="15"/>
        <v>0.816705049537087</v>
      </c>
      <c r="AI24" s="12">
        <f t="shared" si="5"/>
        <v>1.4454628355925128</v>
      </c>
      <c r="AJ24" s="12">
        <f t="shared" si="6"/>
        <v>3.2867151301719341E-2</v>
      </c>
      <c r="AK24" s="12">
        <f t="shared" si="7"/>
        <v>1.3044111501827414E-2</v>
      </c>
      <c r="AL24" s="12">
        <f t="shared" si="8"/>
        <v>0.78764423094049663</v>
      </c>
      <c r="AM24" s="12">
        <f t="shared" si="9"/>
        <v>0.17580938809278843</v>
      </c>
      <c r="AN24" s="12">
        <f t="shared" si="10"/>
        <v>3.2331746079665464</v>
      </c>
      <c r="AO24" s="12">
        <f t="shared" si="11"/>
        <v>7.0861995605124017E-2</v>
      </c>
      <c r="AP24" s="12">
        <f t="shared" si="12"/>
        <v>1.6678750984205133</v>
      </c>
      <c r="AQ24" s="12">
        <f t="shared" si="13"/>
        <v>6.5019623747298083E-2</v>
      </c>
      <c r="AR24" s="23">
        <f t="shared" si="14"/>
        <v>0.2499131394585041</v>
      </c>
      <c r="AS24" s="1"/>
    </row>
    <row r="25" spans="1:45" ht="15.75" customHeight="1">
      <c r="A25" s="29" t="s">
        <v>96</v>
      </c>
      <c r="B25" s="29">
        <v>20</v>
      </c>
      <c r="C25" s="4" t="s">
        <v>97</v>
      </c>
      <c r="D25" s="4" t="s">
        <v>37</v>
      </c>
      <c r="E25" s="5">
        <v>45812</v>
      </c>
      <c r="F25" s="5" t="s">
        <v>91</v>
      </c>
      <c r="G25" s="5" t="s">
        <v>39</v>
      </c>
      <c r="H25" s="4">
        <v>244.35</v>
      </c>
      <c r="I25" s="4">
        <v>184.27</v>
      </c>
      <c r="J25" s="4" t="s">
        <v>98</v>
      </c>
      <c r="K25" s="1">
        <v>2.58</v>
      </c>
      <c r="L25" s="1">
        <v>10.01</v>
      </c>
      <c r="M25" s="1">
        <v>10.33</v>
      </c>
      <c r="N25" s="1">
        <f t="shared" si="0"/>
        <v>7.75</v>
      </c>
      <c r="O25" s="1">
        <f t="shared" si="1"/>
        <v>2.2599999999999998</v>
      </c>
      <c r="P25" s="1">
        <f t="shared" si="2"/>
        <v>0.29161290322580641</v>
      </c>
      <c r="Q25" s="1">
        <f t="shared" si="3"/>
        <v>130.53449032258067</v>
      </c>
      <c r="R25" s="1">
        <v>19.989999999999998</v>
      </c>
      <c r="S25" s="1">
        <f t="shared" si="4"/>
        <v>14.160658064516129</v>
      </c>
      <c r="T25" s="13">
        <v>6.9050000000000002</v>
      </c>
      <c r="U25" s="22">
        <v>16.57</v>
      </c>
      <c r="V25" s="12">
        <v>22.64</v>
      </c>
      <c r="W25" s="12">
        <v>0.40022747769234002</v>
      </c>
      <c r="X25" s="12">
        <v>0.237605304552821</v>
      </c>
      <c r="Y25" s="12">
        <v>12.663118341376101</v>
      </c>
      <c r="Z25" s="12">
        <v>3.9965206700181</v>
      </c>
      <c r="AA25" s="12">
        <v>33.908088697530502</v>
      </c>
      <c r="AB25" s="12">
        <v>0.93930939377607003</v>
      </c>
      <c r="AC25" s="12">
        <v>49.838928330710203</v>
      </c>
      <c r="AD25" s="12">
        <v>1.9544784718365902</v>
      </c>
      <c r="AE25" s="23">
        <v>5.4481623743102006</v>
      </c>
      <c r="AF25" s="1"/>
      <c r="AG25" s="1"/>
      <c r="AH25" s="22">
        <f t="shared" si="15"/>
        <v>1.1701433594757307</v>
      </c>
      <c r="AI25" s="12">
        <f t="shared" si="5"/>
        <v>1.5987957548901957</v>
      </c>
      <c r="AJ25" s="12">
        <f t="shared" si="6"/>
        <v>2.8263338883609702E-2</v>
      </c>
      <c r="AK25" s="12">
        <f t="shared" si="7"/>
        <v>1.6779255841803987E-2</v>
      </c>
      <c r="AL25" s="12">
        <f t="shared" si="8"/>
        <v>0.89424645971132</v>
      </c>
      <c r="AM25" s="12">
        <f t="shared" si="9"/>
        <v>0.28222704423833295</v>
      </c>
      <c r="AN25" s="12">
        <f t="shared" si="10"/>
        <v>2.3945277502673137</v>
      </c>
      <c r="AO25" s="12">
        <f t="shared" si="11"/>
        <v>6.6332326470744871E-2</v>
      </c>
      <c r="AP25" s="12">
        <f t="shared" si="12"/>
        <v>3.5195347634017744</v>
      </c>
      <c r="AQ25" s="12">
        <f t="shared" si="13"/>
        <v>0.13802172631610499</v>
      </c>
      <c r="AR25" s="23">
        <f t="shared" si="14"/>
        <v>0.38473934964662709</v>
      </c>
      <c r="AS25" s="1"/>
    </row>
    <row r="26" spans="1:45" ht="15.75" customHeight="1">
      <c r="A26" s="29" t="s">
        <v>99</v>
      </c>
      <c r="B26" s="29">
        <v>21</v>
      </c>
      <c r="C26" s="4" t="s">
        <v>100</v>
      </c>
      <c r="D26" s="4" t="s">
        <v>37</v>
      </c>
      <c r="E26" s="5">
        <v>45812</v>
      </c>
      <c r="F26" s="5" t="s">
        <v>91</v>
      </c>
      <c r="G26" s="5" t="s">
        <v>39</v>
      </c>
      <c r="H26" s="4">
        <v>207.06</v>
      </c>
      <c r="I26" s="4">
        <v>151.43</v>
      </c>
      <c r="J26" s="4" t="s">
        <v>101</v>
      </c>
      <c r="K26" s="1">
        <v>2.56</v>
      </c>
      <c r="L26" s="1">
        <v>10.01</v>
      </c>
      <c r="M26" s="1">
        <v>11.35</v>
      </c>
      <c r="N26" s="1">
        <f t="shared" si="0"/>
        <v>8.7899999999999991</v>
      </c>
      <c r="O26" s="1">
        <f t="shared" si="1"/>
        <v>1.2200000000000006</v>
      </c>
      <c r="P26" s="1">
        <f t="shared" si="2"/>
        <v>0.13879408418657574</v>
      </c>
      <c r="Q26" s="1">
        <f t="shared" si="3"/>
        <v>130.41241183162683</v>
      </c>
      <c r="R26" s="1">
        <v>20.010000000000002</v>
      </c>
      <c r="S26" s="1">
        <f t="shared" si="4"/>
        <v>17.23273037542662</v>
      </c>
      <c r="T26" s="13">
        <v>7.774</v>
      </c>
      <c r="U26" s="22">
        <v>19.010000000000002</v>
      </c>
      <c r="V26" s="12">
        <v>24.08</v>
      </c>
      <c r="W26" s="12">
        <v>0.53651993585212698</v>
      </c>
      <c r="X26" s="12">
        <v>0.220283799717434</v>
      </c>
      <c r="Y26" s="12">
        <v>19.451224741122399</v>
      </c>
      <c r="Z26" s="12">
        <v>3.0555781895226097</v>
      </c>
      <c r="AA26" s="12">
        <v>31.583570995536402</v>
      </c>
      <c r="AB26" s="12">
        <v>1.1386440923660799</v>
      </c>
      <c r="AC26" s="12">
        <v>17.100058591377302</v>
      </c>
      <c r="AD26" s="12">
        <v>2.50548981928881</v>
      </c>
      <c r="AE26" s="23">
        <v>1.8551774904034801</v>
      </c>
      <c r="AF26" s="1"/>
      <c r="AG26" s="1"/>
      <c r="AH26" s="22">
        <f t="shared" si="15"/>
        <v>1.1031333738678879</v>
      </c>
      <c r="AI26" s="12">
        <f t="shared" si="5"/>
        <v>1.3973409596390709</v>
      </c>
      <c r="AJ26" s="12">
        <f t="shared" si="6"/>
        <v>3.1133774170643849E-2</v>
      </c>
      <c r="AK26" s="12">
        <f t="shared" si="7"/>
        <v>1.2782872761216783E-2</v>
      </c>
      <c r="AL26" s="12">
        <f t="shared" si="8"/>
        <v>1.1287372527373427</v>
      </c>
      <c r="AM26" s="12">
        <f t="shared" si="9"/>
        <v>0.1773124817109526</v>
      </c>
      <c r="AN26" s="12">
        <f t="shared" si="10"/>
        <v>1.8327665034772245</v>
      </c>
      <c r="AO26" s="12">
        <f t="shared" si="11"/>
        <v>6.6074502853578784E-2</v>
      </c>
      <c r="AP26" s="12">
        <f t="shared" si="12"/>
        <v>0.99230117449997912</v>
      </c>
      <c r="AQ26" s="12">
        <f t="shared" si="13"/>
        <v>0.14539134337420881</v>
      </c>
      <c r="AR26" s="23">
        <f t="shared" si="14"/>
        <v>0.10765429795436886</v>
      </c>
      <c r="AS26" s="1"/>
    </row>
    <row r="27" spans="1:45" ht="15.75" customHeight="1">
      <c r="A27" s="29" t="s">
        <v>102</v>
      </c>
      <c r="B27" s="29">
        <v>22</v>
      </c>
      <c r="C27" s="4" t="s">
        <v>103</v>
      </c>
      <c r="D27" s="4" t="s">
        <v>37</v>
      </c>
      <c r="E27" s="5">
        <v>45810</v>
      </c>
      <c r="F27" s="5" t="s">
        <v>91</v>
      </c>
      <c r="G27" s="5" t="s">
        <v>39</v>
      </c>
      <c r="H27" s="4">
        <v>210.53</v>
      </c>
      <c r="I27" s="4">
        <v>144.26</v>
      </c>
      <c r="J27" s="4" t="s">
        <v>104</v>
      </c>
      <c r="K27" s="1">
        <v>2.56</v>
      </c>
      <c r="L27" s="1">
        <v>10.01</v>
      </c>
      <c r="M27" s="1">
        <v>12.21</v>
      </c>
      <c r="N27" s="1">
        <f t="shared" si="0"/>
        <v>9.65</v>
      </c>
      <c r="O27" s="1">
        <f t="shared" si="1"/>
        <v>0.35999999999999943</v>
      </c>
      <c r="P27" s="1">
        <f t="shared" si="2"/>
        <v>3.7305699481865226E-2</v>
      </c>
      <c r="Q27" s="1">
        <f t="shared" si="3"/>
        <v>138.8782797927461</v>
      </c>
      <c r="R27" s="1">
        <v>20</v>
      </c>
      <c r="S27" s="1">
        <f t="shared" si="4"/>
        <v>19.253886010362695</v>
      </c>
      <c r="T27" s="13">
        <v>6.9320000000000004</v>
      </c>
      <c r="U27" s="22">
        <v>18.27</v>
      </c>
      <c r="V27" s="12">
        <v>25.31</v>
      </c>
      <c r="W27" s="12">
        <v>0.44876345000000001</v>
      </c>
      <c r="X27" s="12">
        <v>3.7437440485821802E-2</v>
      </c>
      <c r="Y27" s="12">
        <v>11.567526047553599</v>
      </c>
      <c r="Z27" s="12">
        <v>3.24027798409672</v>
      </c>
      <c r="AA27" s="12">
        <v>31.4093252699464</v>
      </c>
      <c r="AB27" s="12">
        <v>0.88496615121058797</v>
      </c>
      <c r="AC27" s="12">
        <v>20.0072279063086</v>
      </c>
      <c r="AD27" s="12">
        <v>1.00834234</v>
      </c>
      <c r="AE27" s="23">
        <v>1.7250980483957201</v>
      </c>
      <c r="AF27" s="1"/>
      <c r="AG27" s="1"/>
      <c r="AH27" s="22">
        <f t="shared" si="15"/>
        <v>0.94889935414424109</v>
      </c>
      <c r="AI27" s="12">
        <f t="shared" si="5"/>
        <v>1.3145398277717975</v>
      </c>
      <c r="AJ27" s="12">
        <f t="shared" si="6"/>
        <v>2.3307681875672767E-2</v>
      </c>
      <c r="AK27" s="12">
        <f t="shared" si="7"/>
        <v>1.9444095838976338E-3</v>
      </c>
      <c r="AL27" s="12">
        <f t="shared" si="8"/>
        <v>0.60078916231911861</v>
      </c>
      <c r="AM27" s="12">
        <f t="shared" si="9"/>
        <v>0.16829215579404386</v>
      </c>
      <c r="AN27" s="12">
        <f t="shared" si="10"/>
        <v>1.6313239443217586</v>
      </c>
      <c r="AO27" s="12">
        <f t="shared" si="11"/>
        <v>4.5962989016050448E-2</v>
      </c>
      <c r="AP27" s="12">
        <f t="shared" si="12"/>
        <v>1.0391267454030031</v>
      </c>
      <c r="AQ27" s="12">
        <f t="shared" si="13"/>
        <v>5.2370848121636164E-2</v>
      </c>
      <c r="AR27" s="23">
        <f t="shared" si="14"/>
        <v>8.9597395947355746E-2</v>
      </c>
      <c r="AS27" s="1"/>
    </row>
    <row r="28" spans="1:45" ht="15.75" customHeight="1">
      <c r="A28" s="29" t="s">
        <v>105</v>
      </c>
      <c r="B28" s="29">
        <v>23</v>
      </c>
      <c r="C28" s="4" t="s">
        <v>106</v>
      </c>
      <c r="D28" s="4" t="s">
        <v>37</v>
      </c>
      <c r="E28" s="5">
        <v>45810</v>
      </c>
      <c r="F28" s="5" t="s">
        <v>91</v>
      </c>
      <c r="G28" s="5" t="s">
        <v>39</v>
      </c>
      <c r="H28" s="4">
        <v>301.64999999999998</v>
      </c>
      <c r="I28" s="4">
        <v>231.76</v>
      </c>
      <c r="J28" s="4" t="s">
        <v>107</v>
      </c>
      <c r="K28" s="1">
        <v>2.58</v>
      </c>
      <c r="L28" s="1">
        <v>10</v>
      </c>
      <c r="M28" s="1">
        <v>11.64</v>
      </c>
      <c r="N28" s="1">
        <f t="shared" si="0"/>
        <v>9.06</v>
      </c>
      <c r="O28" s="1">
        <f t="shared" si="1"/>
        <v>0.9399999999999995</v>
      </c>
      <c r="P28" s="1">
        <f t="shared" si="2"/>
        <v>0.10375275938189839</v>
      </c>
      <c r="Q28" s="1">
        <f t="shared" si="3"/>
        <v>207.71426048565121</v>
      </c>
      <c r="R28" s="1">
        <v>20.010000000000002</v>
      </c>
      <c r="S28" s="1">
        <f t="shared" si="4"/>
        <v>17.933907284768214</v>
      </c>
      <c r="T28" s="13">
        <v>7.3840000000000003</v>
      </c>
      <c r="U28" s="22">
        <v>12.64</v>
      </c>
      <c r="V28" s="12">
        <v>15.989000000000001</v>
      </c>
      <c r="W28" s="12">
        <v>0.48765229999999998</v>
      </c>
      <c r="X28" s="12">
        <v>4.0498754962121394E-2</v>
      </c>
      <c r="Y28" s="12">
        <v>9.7991474791914701</v>
      </c>
      <c r="Z28" s="12">
        <v>2.4943763516537403</v>
      </c>
      <c r="AA28" s="12">
        <v>37.448129907426505</v>
      </c>
      <c r="AB28" s="12">
        <v>0.97451235293469096</v>
      </c>
      <c r="AC28" s="12">
        <v>17.8066666933885</v>
      </c>
      <c r="AD28" s="12">
        <v>0.65615322418972599</v>
      </c>
      <c r="AE28" s="23">
        <v>1.1485145539053501</v>
      </c>
      <c r="AF28" s="1"/>
      <c r="AG28" s="1"/>
      <c r="AH28" s="22">
        <f t="shared" si="15"/>
        <v>0.70481015649810563</v>
      </c>
      <c r="AI28" s="12">
        <f t="shared" si="5"/>
        <v>0.89155139179178877</v>
      </c>
      <c r="AJ28" s="12">
        <f t="shared" si="6"/>
        <v>2.7191637174023821E-2</v>
      </c>
      <c r="AK28" s="12">
        <f t="shared" si="7"/>
        <v>2.2582226125657601E-3</v>
      </c>
      <c r="AL28" s="12">
        <f t="shared" si="8"/>
        <v>0.5464033756611516</v>
      </c>
      <c r="AM28" s="12">
        <f t="shared" si="9"/>
        <v>0.1390871666751777</v>
      </c>
      <c r="AN28" s="12">
        <f t="shared" si="10"/>
        <v>2.0881188528967294</v>
      </c>
      <c r="AO28" s="12">
        <f t="shared" si="11"/>
        <v>5.4339098416237075E-2</v>
      </c>
      <c r="AP28" s="12">
        <f t="shared" si="12"/>
        <v>0.9929050268098697</v>
      </c>
      <c r="AQ28" s="12">
        <f t="shared" si="13"/>
        <v>3.6587298783852633E-2</v>
      </c>
      <c r="AR28" s="23">
        <f t="shared" si="14"/>
        <v>6.4041512854302346E-2</v>
      </c>
      <c r="AS28" s="1"/>
    </row>
    <row r="29" spans="1:45" ht="15.75" customHeight="1">
      <c r="A29" s="29" t="s">
        <v>108</v>
      </c>
      <c r="B29" s="29">
        <v>24</v>
      </c>
      <c r="C29" s="4" t="s">
        <v>109</v>
      </c>
      <c r="D29" s="4" t="s">
        <v>37</v>
      </c>
      <c r="E29" s="5">
        <v>45810</v>
      </c>
      <c r="F29" s="5" t="s">
        <v>91</v>
      </c>
      <c r="G29" s="5" t="s">
        <v>39</v>
      </c>
      <c r="H29" s="4">
        <v>301.60000000000002</v>
      </c>
      <c r="I29" s="4">
        <v>244.45</v>
      </c>
      <c r="J29" s="4" t="s">
        <v>110</v>
      </c>
      <c r="K29" s="1">
        <v>2.61</v>
      </c>
      <c r="L29" s="1">
        <v>10</v>
      </c>
      <c r="M29" s="1">
        <v>11.5</v>
      </c>
      <c r="N29" s="1">
        <f t="shared" si="0"/>
        <v>8.89</v>
      </c>
      <c r="O29" s="1">
        <f t="shared" si="1"/>
        <v>1.1099999999999994</v>
      </c>
      <c r="P29" s="1">
        <f t="shared" si="2"/>
        <v>0.12485939257592794</v>
      </c>
      <c r="Q29" s="1">
        <f t="shared" si="3"/>
        <v>213.9281214848144</v>
      </c>
      <c r="R29" s="1">
        <v>20</v>
      </c>
      <c r="S29" s="1">
        <f t="shared" si="4"/>
        <v>17.502812148481443</v>
      </c>
      <c r="T29" s="13">
        <v>7.3150000000000004</v>
      </c>
      <c r="U29" s="22">
        <v>19.602</v>
      </c>
      <c r="V29" s="12">
        <v>18.021000000000001</v>
      </c>
      <c r="W29" s="12">
        <v>0.39980723000000001</v>
      </c>
      <c r="X29" s="12">
        <v>4.0056550309125895E-2</v>
      </c>
      <c r="Y29" s="12">
        <v>12.098432499999999</v>
      </c>
      <c r="Z29" s="12">
        <v>2.43194891455216</v>
      </c>
      <c r="AA29" s="12">
        <v>30.734178135550302</v>
      </c>
      <c r="AB29" s="12">
        <v>0.70292803507030699</v>
      </c>
      <c r="AC29" s="12">
        <v>14.989014815867501</v>
      </c>
      <c r="AD29" s="12">
        <v>0.41398909359896496</v>
      </c>
      <c r="AE29" s="23">
        <v>3.4206439853097899</v>
      </c>
      <c r="AF29" s="1"/>
      <c r="AG29" s="1"/>
      <c r="AH29" s="22">
        <f t="shared" si="15"/>
        <v>1.1199343187660666</v>
      </c>
      <c r="AI29" s="12">
        <f t="shared" si="5"/>
        <v>1.0296059768637531</v>
      </c>
      <c r="AJ29" s="12">
        <f t="shared" si="6"/>
        <v>2.284245677827763E-2</v>
      </c>
      <c r="AK29" s="12">
        <f t="shared" si="7"/>
        <v>2.2885779707463314E-3</v>
      </c>
      <c r="AL29" s="12">
        <f t="shared" si="8"/>
        <v>0.69122792368251917</v>
      </c>
      <c r="AM29" s="12">
        <f t="shared" si="9"/>
        <v>0.13894618155763946</v>
      </c>
      <c r="AN29" s="12">
        <f t="shared" si="10"/>
        <v>1.7559565785671087</v>
      </c>
      <c r="AO29" s="12">
        <f t="shared" si="11"/>
        <v>4.0160862672076018E-2</v>
      </c>
      <c r="AP29" s="12">
        <f t="shared" si="12"/>
        <v>0.85637751743613144</v>
      </c>
      <c r="AQ29" s="12">
        <f t="shared" si="13"/>
        <v>2.3652718779529548E-2</v>
      </c>
      <c r="AR29" s="23">
        <f t="shared" si="14"/>
        <v>0.19543396548460171</v>
      </c>
      <c r="AS29" s="1"/>
    </row>
    <row r="30" spans="1:45" ht="15.75" customHeight="1">
      <c r="A30" s="29" t="s">
        <v>111</v>
      </c>
      <c r="B30" s="29">
        <v>25</v>
      </c>
      <c r="C30" s="4" t="s">
        <v>112</v>
      </c>
      <c r="D30" s="4" t="s">
        <v>37</v>
      </c>
      <c r="E30" s="5">
        <v>45810</v>
      </c>
      <c r="F30" s="5" t="s">
        <v>91</v>
      </c>
      <c r="G30" s="5" t="s">
        <v>39</v>
      </c>
      <c r="H30" s="4">
        <v>280.49</v>
      </c>
      <c r="I30" s="4">
        <v>223.53</v>
      </c>
      <c r="J30" s="4" t="s">
        <v>113</v>
      </c>
      <c r="K30" s="1">
        <v>2.56</v>
      </c>
      <c r="L30" s="1">
        <v>10.01</v>
      </c>
      <c r="M30" s="1">
        <v>12.15</v>
      </c>
      <c r="N30" s="1">
        <f t="shared" si="0"/>
        <v>9.59</v>
      </c>
      <c r="O30" s="1">
        <f t="shared" si="1"/>
        <v>0.41999999999999993</v>
      </c>
      <c r="P30" s="1">
        <f t="shared" si="2"/>
        <v>4.3795620437956199E-2</v>
      </c>
      <c r="Q30" s="1">
        <f t="shared" si="3"/>
        <v>213.74036496350365</v>
      </c>
      <c r="R30" s="1">
        <v>20</v>
      </c>
      <c r="S30" s="1">
        <f t="shared" si="4"/>
        <v>19.124087591240876</v>
      </c>
      <c r="T30" s="13">
        <v>6.8949999999999996</v>
      </c>
      <c r="U30" s="22">
        <v>11.73</v>
      </c>
      <c r="V30" s="12">
        <v>19.234000000000002</v>
      </c>
      <c r="W30" s="12">
        <v>0.59872340000000002</v>
      </c>
      <c r="X30" s="12">
        <v>9.9876345000000005E-2</v>
      </c>
      <c r="Y30" s="12">
        <v>11.209834000000001</v>
      </c>
      <c r="Z30" s="12">
        <v>2.1381853706045901</v>
      </c>
      <c r="AA30" s="12">
        <v>35.6312668083022</v>
      </c>
      <c r="AB30" s="12">
        <v>0.81470968598194005</v>
      </c>
      <c r="AC30" s="12">
        <v>15.279648471740598</v>
      </c>
      <c r="AD30" s="12">
        <v>2.0975325956250499</v>
      </c>
      <c r="AE30" s="23">
        <v>1.2010249869910301</v>
      </c>
      <c r="AF30" s="1"/>
      <c r="AG30" s="1"/>
      <c r="AH30" s="22">
        <f t="shared" si="15"/>
        <v>0.61336259541984739</v>
      </c>
      <c r="AI30" s="12">
        <f t="shared" si="5"/>
        <v>1.0057473282442748</v>
      </c>
      <c r="AJ30" s="12">
        <f t="shared" si="6"/>
        <v>3.1307292290076338E-2</v>
      </c>
      <c r="AK30" s="12">
        <f t="shared" si="7"/>
        <v>5.2225417041984737E-3</v>
      </c>
      <c r="AL30" s="12">
        <f t="shared" si="8"/>
        <v>0.58616307557251912</v>
      </c>
      <c r="AM30" s="12">
        <f t="shared" si="9"/>
        <v>0.11180587624917132</v>
      </c>
      <c r="AN30" s="12">
        <f t="shared" si="10"/>
        <v>1.8631616613501532</v>
      </c>
      <c r="AO30" s="12">
        <f t="shared" si="11"/>
        <v>4.260123167157473E-2</v>
      </c>
      <c r="AP30" s="12">
        <f t="shared" si="12"/>
        <v>0.79897398497269545</v>
      </c>
      <c r="AQ30" s="12">
        <f t="shared" si="13"/>
        <v>0.10968013954222589</v>
      </c>
      <c r="AR30" s="23">
        <f t="shared" si="14"/>
        <v>6.2801688251057683E-2</v>
      </c>
      <c r="AS30" s="1"/>
    </row>
    <row r="31" spans="1:45" ht="15.75" customHeight="1">
      <c r="A31" s="29" t="s">
        <v>114</v>
      </c>
      <c r="B31" s="29">
        <v>26</v>
      </c>
      <c r="C31" s="4" t="s">
        <v>115</v>
      </c>
      <c r="D31" s="4" t="s">
        <v>37</v>
      </c>
      <c r="E31" s="5">
        <v>45810</v>
      </c>
      <c r="F31" s="5" t="s">
        <v>91</v>
      </c>
      <c r="G31" s="5" t="s">
        <v>39</v>
      </c>
      <c r="H31" s="4">
        <v>195.01</v>
      </c>
      <c r="I31" s="4">
        <v>164.43</v>
      </c>
      <c r="J31" s="4" t="s">
        <v>116</v>
      </c>
      <c r="K31" s="1">
        <v>2.34</v>
      </c>
      <c r="L31" s="1">
        <v>10</v>
      </c>
      <c r="M31" s="1">
        <v>11.19</v>
      </c>
      <c r="N31" s="1">
        <f t="shared" si="0"/>
        <v>8.85</v>
      </c>
      <c r="O31" s="1">
        <f t="shared" si="1"/>
        <v>1.1500000000000004</v>
      </c>
      <c r="P31" s="1">
        <f t="shared" si="2"/>
        <v>0.12994350282485881</v>
      </c>
      <c r="Q31" s="1">
        <f t="shared" si="3"/>
        <v>143.06338983050847</v>
      </c>
      <c r="R31" s="1">
        <v>20.010000000000002</v>
      </c>
      <c r="S31" s="1">
        <f t="shared" si="4"/>
        <v>17.409830508474577</v>
      </c>
      <c r="T31" s="13">
        <v>6.8390000000000004</v>
      </c>
      <c r="U31" s="22">
        <v>14.14</v>
      </c>
      <c r="V31" s="12">
        <v>17.581</v>
      </c>
      <c r="W31" s="12">
        <v>0.38763449999999999</v>
      </c>
      <c r="X31" s="12">
        <v>8.0939699769369003E-2</v>
      </c>
      <c r="Y31" s="12">
        <v>12.39872345</v>
      </c>
      <c r="Z31" s="12">
        <v>2.0341165839168402</v>
      </c>
      <c r="AA31" s="12">
        <v>42.1012433634451</v>
      </c>
      <c r="AB31" s="12">
        <v>0.76713835864417401</v>
      </c>
      <c r="AC31" s="12">
        <v>11.432255600052601</v>
      </c>
      <c r="AD31" s="12">
        <v>0.56253516545430304</v>
      </c>
      <c r="AE31" s="23">
        <v>1.56524815837613</v>
      </c>
      <c r="AF31" s="1"/>
      <c r="AG31" s="1"/>
      <c r="AH31" s="22">
        <f t="shared" si="15"/>
        <v>0.81218481668256781</v>
      </c>
      <c r="AI31" s="12">
        <f t="shared" si="5"/>
        <v>1.0098317724254755</v>
      </c>
      <c r="AJ31" s="12">
        <f t="shared" si="6"/>
        <v>2.2265265581494966E-2</v>
      </c>
      <c r="AK31" s="12">
        <f t="shared" si="7"/>
        <v>4.6490802842664098E-3</v>
      </c>
      <c r="AL31" s="12">
        <f t="shared" si="8"/>
        <v>0.71216795843961134</v>
      </c>
      <c r="AM31" s="12">
        <f t="shared" si="9"/>
        <v>0.1168372422078833</v>
      </c>
      <c r="AN31" s="12">
        <f t="shared" si="10"/>
        <v>2.4182454471886725</v>
      </c>
      <c r="AO31" s="12">
        <f t="shared" si="11"/>
        <v>4.406351677408659E-2</v>
      </c>
      <c r="AP31" s="12">
        <f t="shared" si="12"/>
        <v>0.65665519227701419</v>
      </c>
      <c r="AQ31" s="12">
        <f t="shared" si="13"/>
        <v>3.2311352208769524E-2</v>
      </c>
      <c r="AR31" s="23">
        <f t="shared" si="14"/>
        <v>8.9905996363044124E-2</v>
      </c>
      <c r="AS31" s="1"/>
    </row>
    <row r="32" spans="1:45" ht="15.75" customHeight="1">
      <c r="A32" s="29" t="s">
        <v>162</v>
      </c>
      <c r="B32" s="29">
        <v>27</v>
      </c>
      <c r="C32" s="4" t="s">
        <v>163</v>
      </c>
      <c r="D32" s="4" t="s">
        <v>37</v>
      </c>
      <c r="E32" s="5">
        <v>45812</v>
      </c>
      <c r="F32" s="5" t="s">
        <v>164</v>
      </c>
      <c r="G32" s="5" t="s">
        <v>165</v>
      </c>
      <c r="H32" s="4">
        <v>380.82</v>
      </c>
      <c r="I32" s="4">
        <v>228.85</v>
      </c>
      <c r="J32" s="4" t="s">
        <v>166</v>
      </c>
      <c r="K32" s="1">
        <v>2.59</v>
      </c>
      <c r="L32" s="1">
        <v>10.050000000000001</v>
      </c>
      <c r="M32" s="1">
        <v>10.24</v>
      </c>
      <c r="N32" s="1">
        <f t="shared" si="0"/>
        <v>7.65</v>
      </c>
      <c r="O32" s="1">
        <f t="shared" si="1"/>
        <v>2.4000000000000004</v>
      </c>
      <c r="P32" s="1">
        <f t="shared" si="2"/>
        <v>0.31372549019607848</v>
      </c>
      <c r="Q32" s="1">
        <f t="shared" si="3"/>
        <v>157.05392156862746</v>
      </c>
      <c r="R32" s="1">
        <v>20.05</v>
      </c>
      <c r="S32" s="1">
        <f t="shared" si="4"/>
        <v>13.759803921568627</v>
      </c>
      <c r="T32" s="13">
        <v>6.6539999999999999</v>
      </c>
      <c r="U32" s="22">
        <v>16.39</v>
      </c>
      <c r="V32" s="12">
        <v>22.88</v>
      </c>
      <c r="W32" s="12">
        <v>0.27687632400000001</v>
      </c>
      <c r="X32" s="12">
        <v>0.67522211528834297</v>
      </c>
      <c r="Y32" s="12">
        <v>12.387325000000001</v>
      </c>
      <c r="Z32" s="12">
        <v>5.1837952299131</v>
      </c>
      <c r="AA32" s="12">
        <v>26.059613893656302</v>
      </c>
      <c r="AB32" s="12">
        <v>0.82236708025794802</v>
      </c>
      <c r="AC32" s="12">
        <v>54.448430963490999</v>
      </c>
      <c r="AD32" s="12">
        <v>12.296582329942501</v>
      </c>
      <c r="AE32" s="23">
        <v>12.179107615564799</v>
      </c>
      <c r="AF32" s="1"/>
      <c r="AG32" s="1"/>
      <c r="AH32" s="22">
        <f t="shared" si="15"/>
        <v>1.1911506946918418</v>
      </c>
      <c r="AI32" s="12">
        <f t="shared" si="5"/>
        <v>1.6628143925899537</v>
      </c>
      <c r="AJ32" s="12">
        <f t="shared" si="6"/>
        <v>2.0122112609903813E-2</v>
      </c>
      <c r="AK32" s="12">
        <f t="shared" si="7"/>
        <v>4.9072073929042385E-2</v>
      </c>
      <c r="AL32" s="12">
        <f t="shared" si="8"/>
        <v>0.90025447096544353</v>
      </c>
      <c r="AM32" s="12">
        <f t="shared" si="9"/>
        <v>0.37673467292564033</v>
      </c>
      <c r="AN32" s="12">
        <f t="shared" si="10"/>
        <v>1.8938942765607003</v>
      </c>
      <c r="AO32" s="12">
        <f t="shared" si="11"/>
        <v>5.9765901094628211E-2</v>
      </c>
      <c r="AP32" s="12">
        <f t="shared" si="12"/>
        <v>3.9570644519245328</v>
      </c>
      <c r="AQ32" s="12">
        <f t="shared" si="13"/>
        <v>0.89365970620173496</v>
      </c>
      <c r="AR32" s="23">
        <f t="shared" si="14"/>
        <v>0.8851221779747841</v>
      </c>
      <c r="AS32" s="1"/>
    </row>
    <row r="33" spans="1:45" ht="15.75" customHeight="1">
      <c r="A33" s="29" t="s">
        <v>167</v>
      </c>
      <c r="B33" s="29">
        <v>28</v>
      </c>
      <c r="C33" s="4" t="s">
        <v>168</v>
      </c>
      <c r="D33" s="4" t="s">
        <v>37</v>
      </c>
      <c r="F33" s="5" t="s">
        <v>164</v>
      </c>
      <c r="G33" s="5" t="s">
        <v>165</v>
      </c>
      <c r="H33" s="4">
        <v>293.41000000000003</v>
      </c>
      <c r="I33" s="4">
        <v>254.52</v>
      </c>
      <c r="J33" s="4" t="s">
        <v>169</v>
      </c>
      <c r="K33" s="1">
        <v>2.36</v>
      </c>
      <c r="L33" s="1">
        <v>10</v>
      </c>
      <c r="M33" s="1">
        <v>10.71</v>
      </c>
      <c r="N33" s="1">
        <f t="shared" si="0"/>
        <v>8.3500000000000014</v>
      </c>
      <c r="O33" s="1">
        <f t="shared" si="1"/>
        <v>1.6499999999999986</v>
      </c>
      <c r="P33" s="1">
        <f t="shared" si="2"/>
        <v>0.19760479041916149</v>
      </c>
      <c r="Q33" s="1">
        <f t="shared" si="3"/>
        <v>204.22562874251503</v>
      </c>
      <c r="R33" s="1">
        <v>20.010000000000002</v>
      </c>
      <c r="S33" s="1">
        <f t="shared" si="4"/>
        <v>16.055928143712581</v>
      </c>
      <c r="T33" s="13">
        <v>6.3049999999999997</v>
      </c>
      <c r="U33" s="22">
        <v>18.510000000000002</v>
      </c>
      <c r="V33" s="12">
        <v>23.81</v>
      </c>
      <c r="W33" s="12">
        <v>0.28876234499999998</v>
      </c>
      <c r="X33" s="12">
        <v>0.81398026476462793</v>
      </c>
      <c r="Y33" s="12">
        <v>10.872339999999999</v>
      </c>
      <c r="Z33" s="12">
        <v>5.4224517076478094</v>
      </c>
      <c r="AA33" s="12">
        <v>36.391348928167503</v>
      </c>
      <c r="AB33" s="12">
        <v>1.0219582692325999</v>
      </c>
      <c r="AC33" s="12">
        <v>52.779982847268997</v>
      </c>
      <c r="AD33" s="12">
        <v>11.685331220177201</v>
      </c>
      <c r="AE33" s="23">
        <v>17.5017966944059</v>
      </c>
      <c r="AF33" s="1"/>
      <c r="AG33" s="1"/>
      <c r="AH33" s="22">
        <f t="shared" si="15"/>
        <v>1.1528452191814538</v>
      </c>
      <c r="AI33" s="12">
        <f t="shared" si="5"/>
        <v>1.4829413651383256</v>
      </c>
      <c r="AJ33" s="12">
        <f t="shared" si="6"/>
        <v>1.7984780600371446E-2</v>
      </c>
      <c r="AK33" s="12">
        <f t="shared" si="7"/>
        <v>5.0696556279954355E-2</v>
      </c>
      <c r="AL33" s="12">
        <f t="shared" si="8"/>
        <v>0.67715425123259232</v>
      </c>
      <c r="AM33" s="12">
        <f t="shared" si="9"/>
        <v>0.33772271893052869</v>
      </c>
      <c r="AN33" s="12">
        <f t="shared" si="10"/>
        <v>2.2665366089358194</v>
      </c>
      <c r="AO33" s="12">
        <f t="shared" si="11"/>
        <v>6.36499030193277E-2</v>
      </c>
      <c r="AP33" s="12">
        <f t="shared" si="12"/>
        <v>3.2872582870855314</v>
      </c>
      <c r="AQ33" s="12">
        <f t="shared" si="13"/>
        <v>0.72778920754905818</v>
      </c>
      <c r="AR33" s="23">
        <f t="shared" si="14"/>
        <v>1.090052006819644</v>
      </c>
      <c r="AS33" s="1"/>
    </row>
    <row r="34" spans="1:45" ht="15.75" customHeight="1">
      <c r="A34" s="29" t="s">
        <v>170</v>
      </c>
      <c r="B34" s="29">
        <v>29</v>
      </c>
      <c r="C34" s="4" t="s">
        <v>171</v>
      </c>
      <c r="D34" s="4" t="s">
        <v>37</v>
      </c>
      <c r="E34" s="5">
        <v>45807</v>
      </c>
      <c r="F34" s="5" t="s">
        <v>164</v>
      </c>
      <c r="G34" s="5" t="s">
        <v>165</v>
      </c>
      <c r="H34" s="4">
        <v>349.23</v>
      </c>
      <c r="I34" s="4">
        <v>338.89</v>
      </c>
      <c r="J34" s="4" t="s">
        <v>146</v>
      </c>
      <c r="K34" s="1">
        <v>2.6</v>
      </c>
      <c r="L34" s="1">
        <v>10.01</v>
      </c>
      <c r="M34" s="1">
        <v>11.21</v>
      </c>
      <c r="N34" s="1">
        <f t="shared" si="0"/>
        <v>8.6100000000000012</v>
      </c>
      <c r="O34" s="1">
        <f t="shared" si="1"/>
        <v>1.3999999999999986</v>
      </c>
      <c r="P34" s="1">
        <f t="shared" si="2"/>
        <v>0.16260162601625996</v>
      </c>
      <c r="Q34" s="1">
        <f t="shared" si="3"/>
        <v>283.78593495934967</v>
      </c>
      <c r="R34" s="1">
        <v>20.010000000000002</v>
      </c>
      <c r="S34" s="1">
        <f t="shared" si="4"/>
        <v>16.756341463414639</v>
      </c>
      <c r="T34" s="13">
        <v>6.6390000000000002</v>
      </c>
      <c r="U34" s="22">
        <v>18.48</v>
      </c>
      <c r="V34" s="12">
        <v>25.19</v>
      </c>
      <c r="W34" s="12">
        <v>0.22876759999999999</v>
      </c>
      <c r="X34" s="12">
        <v>0.88536506015861494</v>
      </c>
      <c r="Y34" s="12">
        <v>11.2876235</v>
      </c>
      <c r="Z34" s="12">
        <v>5.1098340000000002</v>
      </c>
      <c r="AA34" s="12">
        <v>30.627031746331099</v>
      </c>
      <c r="AB34" s="12">
        <v>1.05180018107333</v>
      </c>
      <c r="AC34" s="12">
        <v>56.498877089616997</v>
      </c>
      <c r="AD34" s="12">
        <v>8.3480545549181002</v>
      </c>
      <c r="AE34" s="23">
        <v>10.8582339054724</v>
      </c>
      <c r="AF34" s="1"/>
      <c r="AG34" s="1"/>
      <c r="AH34" s="22">
        <f t="shared" si="15"/>
        <v>1.1028660427068016</v>
      </c>
      <c r="AI34" s="12">
        <f t="shared" si="5"/>
        <v>1.503311451070581</v>
      </c>
      <c r="AJ34" s="12">
        <f t="shared" si="6"/>
        <v>1.3652598361013664E-2</v>
      </c>
      <c r="AK34" s="12">
        <f t="shared" si="7"/>
        <v>5.283761148528144E-2</v>
      </c>
      <c r="AL34" s="12">
        <f t="shared" si="8"/>
        <v>0.67363293620180187</v>
      </c>
      <c r="AM34" s="12">
        <f t="shared" si="9"/>
        <v>0.30494926420284996</v>
      </c>
      <c r="AN34" s="12">
        <f t="shared" si="10"/>
        <v>1.8277875163382988</v>
      </c>
      <c r="AO34" s="12">
        <f t="shared" si="11"/>
        <v>6.2770276159017355E-2</v>
      </c>
      <c r="AP34" s="12">
        <f t="shared" si="12"/>
        <v>3.371790746385491</v>
      </c>
      <c r="AQ34" s="12">
        <f t="shared" si="13"/>
        <v>0.4982026997447519</v>
      </c>
      <c r="AR34" s="23">
        <f t="shared" si="14"/>
        <v>0.64800743820958684</v>
      </c>
      <c r="AS34" s="1"/>
    </row>
    <row r="35" spans="1:45" ht="15.75" customHeight="1">
      <c r="A35" s="29" t="s">
        <v>172</v>
      </c>
      <c r="B35" s="29">
        <v>30</v>
      </c>
      <c r="C35" s="4" t="s">
        <v>173</v>
      </c>
      <c r="D35" s="4" t="s">
        <v>37</v>
      </c>
      <c r="F35" s="5" t="s">
        <v>164</v>
      </c>
      <c r="G35" s="5" t="s">
        <v>165</v>
      </c>
      <c r="H35" s="4">
        <v>312.17</v>
      </c>
      <c r="I35" s="4">
        <v>295.48</v>
      </c>
      <c r="J35" s="4" t="s">
        <v>174</v>
      </c>
      <c r="K35" s="1">
        <v>2.57</v>
      </c>
      <c r="L35" s="1">
        <v>10.01</v>
      </c>
      <c r="M35" s="1">
        <v>10.24</v>
      </c>
      <c r="N35" s="1">
        <f t="shared" si="0"/>
        <v>7.67</v>
      </c>
      <c r="O35" s="1">
        <f t="shared" si="1"/>
        <v>2.34</v>
      </c>
      <c r="P35" s="1">
        <f t="shared" si="2"/>
        <v>0.30508474576271183</v>
      </c>
      <c r="Q35" s="1">
        <f t="shared" si="3"/>
        <v>205.33355932203392</v>
      </c>
      <c r="R35" s="1">
        <v>20.05</v>
      </c>
      <c r="S35" s="1">
        <f t="shared" si="4"/>
        <v>13.933050847457629</v>
      </c>
      <c r="T35" s="13">
        <v>7.1340000000000003</v>
      </c>
      <c r="U35" s="22">
        <v>8.4450000000000003</v>
      </c>
      <c r="V35" s="12">
        <v>10.69</v>
      </c>
      <c r="W35" s="12">
        <v>0.2019862435</v>
      </c>
      <c r="X35" s="12">
        <v>0.46914859428795003</v>
      </c>
      <c r="Y35" s="12">
        <v>10.203878700000001</v>
      </c>
      <c r="Z35" s="12">
        <v>2.4490978000000001</v>
      </c>
      <c r="AA35" s="12">
        <v>56.098345000000002</v>
      </c>
      <c r="AB35" s="12">
        <v>0.75671897850966996</v>
      </c>
      <c r="AC35" s="12">
        <v>28.7224101233097</v>
      </c>
      <c r="AD35" s="12">
        <v>4.2974982000916002</v>
      </c>
      <c r="AE35" s="23">
        <v>1.1325276477066901</v>
      </c>
      <c r="AF35" s="1"/>
      <c r="AG35" s="1"/>
      <c r="AH35" s="22">
        <f t="shared" si="15"/>
        <v>0.60611276686332938</v>
      </c>
      <c r="AI35" s="12">
        <f t="shared" si="5"/>
        <v>0.76724043549662413</v>
      </c>
      <c r="AJ35" s="12">
        <f t="shared" si="6"/>
        <v>1.449691425886503E-2</v>
      </c>
      <c r="AK35" s="12">
        <f t="shared" si="7"/>
        <v>3.3671634405436468E-2</v>
      </c>
      <c r="AL35" s="12">
        <f t="shared" si="8"/>
        <v>0.73235063962046099</v>
      </c>
      <c r="AM35" s="12">
        <f t="shared" si="9"/>
        <v>0.1757761330819293</v>
      </c>
      <c r="AN35" s="12">
        <f t="shared" si="10"/>
        <v>4.0262786387689307</v>
      </c>
      <c r="AO35" s="12">
        <f t="shared" si="11"/>
        <v>5.4311075642686599E-2</v>
      </c>
      <c r="AP35" s="12">
        <f t="shared" si="12"/>
        <v>2.0614587887297269</v>
      </c>
      <c r="AQ35" s="12">
        <f t="shared" si="13"/>
        <v>0.3084391385017996</v>
      </c>
      <c r="AR35" s="23">
        <f t="shared" si="14"/>
        <v>8.1283536542417989E-2</v>
      </c>
      <c r="AS35" s="1"/>
    </row>
    <row r="36" spans="1:45" ht="15.75" customHeight="1">
      <c r="A36" s="29" t="s">
        <v>175</v>
      </c>
      <c r="B36" s="29">
        <v>31</v>
      </c>
      <c r="C36" s="4" t="s">
        <v>176</v>
      </c>
      <c r="D36" s="4" t="s">
        <v>37</v>
      </c>
      <c r="F36" s="5" t="s">
        <v>164</v>
      </c>
      <c r="G36" s="5" t="s">
        <v>165</v>
      </c>
      <c r="H36" s="4">
        <v>616.04</v>
      </c>
      <c r="I36" s="4">
        <v>516.59</v>
      </c>
      <c r="J36" s="4" t="s">
        <v>177</v>
      </c>
      <c r="K36" s="1">
        <v>2.56</v>
      </c>
      <c r="L36" s="1">
        <v>10.02</v>
      </c>
      <c r="M36" s="1">
        <v>11.03</v>
      </c>
      <c r="N36" s="1">
        <f t="shared" si="0"/>
        <v>8.4699999999999989</v>
      </c>
      <c r="O36" s="1">
        <f t="shared" si="1"/>
        <v>1.5500000000000007</v>
      </c>
      <c r="P36" s="1">
        <f t="shared" si="2"/>
        <v>0.18299881936245582</v>
      </c>
      <c r="Q36" s="1">
        <f t="shared" si="3"/>
        <v>422.05463990554892</v>
      </c>
      <c r="R36" s="1">
        <v>20</v>
      </c>
      <c r="S36" s="1">
        <f t="shared" si="4"/>
        <v>16.340023612750883</v>
      </c>
      <c r="T36" s="13">
        <v>7.1529999999999996</v>
      </c>
      <c r="U36" s="22">
        <v>11.75</v>
      </c>
      <c r="V36" s="12">
        <v>12.45</v>
      </c>
      <c r="W36" s="12">
        <v>0.18876345</v>
      </c>
      <c r="X36" s="12">
        <v>0.42284391632876106</v>
      </c>
      <c r="Y36" s="12">
        <v>9.0984350000000003</v>
      </c>
      <c r="Z36" s="12">
        <v>2.4170289132469098</v>
      </c>
      <c r="AA36" s="12">
        <v>58.814244690583202</v>
      </c>
      <c r="AB36" s="12">
        <v>0.41790238049226602</v>
      </c>
      <c r="AC36" s="12">
        <v>24.430280243919299</v>
      </c>
      <c r="AD36" s="12">
        <v>4.1951552798380698</v>
      </c>
      <c r="AE36" s="23">
        <v>1.4528424252764598</v>
      </c>
      <c r="AF36" s="1"/>
      <c r="AG36" s="1"/>
      <c r="AH36" s="22">
        <f t="shared" si="15"/>
        <v>0.71909320809248567</v>
      </c>
      <c r="AI36" s="12">
        <f t="shared" si="5"/>
        <v>0.76193280346820813</v>
      </c>
      <c r="AJ36" s="12">
        <f t="shared" si="6"/>
        <v>1.1552214028179192E-2</v>
      </c>
      <c r="AK36" s="12">
        <f t="shared" si="7"/>
        <v>2.5877803260871437E-2</v>
      </c>
      <c r="AL36" s="12">
        <f t="shared" si="8"/>
        <v>0.55681896278901744</v>
      </c>
      <c r="AM36" s="12">
        <f t="shared" si="9"/>
        <v>0.14792077236417145</v>
      </c>
      <c r="AN36" s="12">
        <f t="shared" si="10"/>
        <v>3.5993977783904607</v>
      </c>
      <c r="AO36" s="12">
        <f t="shared" si="11"/>
        <v>2.5575384124057035E-2</v>
      </c>
      <c r="AP36" s="12">
        <f t="shared" si="12"/>
        <v>1.4951190293785874</v>
      </c>
      <c r="AQ36" s="12">
        <f t="shared" si="13"/>
        <v>0.25674107818084146</v>
      </c>
      <c r="AR36" s="23">
        <f t="shared" si="14"/>
        <v>8.8913116633609943E-2</v>
      </c>
      <c r="AS36" s="1"/>
    </row>
    <row r="37" spans="1:45" ht="15.75" customHeight="1">
      <c r="A37" s="29" t="s">
        <v>178</v>
      </c>
      <c r="B37" s="29">
        <v>32</v>
      </c>
      <c r="C37" s="4" t="s">
        <v>179</v>
      </c>
      <c r="D37" s="4" t="s">
        <v>37</v>
      </c>
      <c r="F37" s="5" t="s">
        <v>164</v>
      </c>
      <c r="G37" s="5" t="s">
        <v>165</v>
      </c>
      <c r="H37" s="4">
        <v>541.20000000000005</v>
      </c>
      <c r="I37" s="4">
        <v>381.63</v>
      </c>
      <c r="J37" s="4" t="s">
        <v>127</v>
      </c>
      <c r="K37" s="1">
        <v>2.63</v>
      </c>
      <c r="L37" s="1">
        <v>10.02</v>
      </c>
      <c r="M37" s="1">
        <v>10.93</v>
      </c>
      <c r="N37" s="1">
        <f t="shared" si="0"/>
        <v>8.3000000000000007</v>
      </c>
      <c r="O37" s="1">
        <f t="shared" si="1"/>
        <v>1.7199999999999989</v>
      </c>
      <c r="P37" s="1">
        <f t="shared" si="2"/>
        <v>0.20722891566265045</v>
      </c>
      <c r="Q37" s="1">
        <f t="shared" si="3"/>
        <v>302.54522891566273</v>
      </c>
      <c r="R37" s="1">
        <v>20.02</v>
      </c>
      <c r="S37" s="1">
        <f t="shared" si="4"/>
        <v>15.871277108433738</v>
      </c>
      <c r="T37" s="13">
        <v>7.0369999999999999</v>
      </c>
      <c r="U37" s="22">
        <v>9.0350000000000001</v>
      </c>
      <c r="V37" s="12">
        <v>11.04</v>
      </c>
      <c r="W37" s="12">
        <v>0.156801719880445</v>
      </c>
      <c r="X37" s="12">
        <v>0.43572026731584301</v>
      </c>
      <c r="Y37" s="12">
        <v>8.7351522451415704</v>
      </c>
      <c r="Z37" s="12">
        <v>2.49585395941076</v>
      </c>
      <c r="AA37" s="12">
        <v>47.323327801118197</v>
      </c>
      <c r="AB37" s="12">
        <v>0.44329344878208798</v>
      </c>
      <c r="AC37" s="12">
        <v>22.407293827863302</v>
      </c>
      <c r="AD37" s="12">
        <v>5.7440063328826394</v>
      </c>
      <c r="AE37" s="23">
        <v>1.4622785424254701</v>
      </c>
      <c r="AF37" s="1"/>
      <c r="AG37" s="1"/>
      <c r="AH37" s="22">
        <f t="shared" si="15"/>
        <v>0.56926735878103651</v>
      </c>
      <c r="AI37" s="12">
        <f t="shared" si="5"/>
        <v>0.69559619711595377</v>
      </c>
      <c r="AJ37" s="12">
        <f t="shared" si="6"/>
        <v>9.8795905842462492E-3</v>
      </c>
      <c r="AK37" s="12">
        <f t="shared" si="7"/>
        <v>2.7453384144134712E-2</v>
      </c>
      <c r="AL37" s="12">
        <f t="shared" si="8"/>
        <v>0.55037488070193497</v>
      </c>
      <c r="AM37" s="12">
        <f t="shared" si="9"/>
        <v>0.15725602560896024</v>
      </c>
      <c r="AN37" s="12">
        <f t="shared" si="10"/>
        <v>2.9816962729465137</v>
      </c>
      <c r="AO37" s="12">
        <f t="shared" si="11"/>
        <v>2.7930546845945314E-2</v>
      </c>
      <c r="AP37" s="12">
        <f t="shared" si="12"/>
        <v>1.4118141643407154</v>
      </c>
      <c r="AQ37" s="12">
        <f t="shared" si="13"/>
        <v>0.36191204360173185</v>
      </c>
      <c r="AR37" s="23">
        <f t="shared" si="14"/>
        <v>9.2133640691613852E-2</v>
      </c>
      <c r="AS37" s="1"/>
    </row>
    <row r="38" spans="1:45" ht="15.75" customHeight="1">
      <c r="A38" s="29" t="s">
        <v>180</v>
      </c>
      <c r="B38" s="29">
        <v>33</v>
      </c>
      <c r="C38" s="4" t="s">
        <v>181</v>
      </c>
      <c r="D38" s="4" t="s">
        <v>37</v>
      </c>
      <c r="F38" s="5" t="s">
        <v>164</v>
      </c>
      <c r="G38" s="5" t="s">
        <v>165</v>
      </c>
      <c r="H38" s="4">
        <v>159.66999999999999</v>
      </c>
      <c r="I38" s="4">
        <v>129.93</v>
      </c>
      <c r="J38" s="4" t="s">
        <v>182</v>
      </c>
      <c r="K38" s="1">
        <v>2.59</v>
      </c>
      <c r="L38" s="1">
        <v>10.01</v>
      </c>
      <c r="M38" s="1">
        <v>10.93</v>
      </c>
      <c r="N38" s="1">
        <f t="shared" ref="N38:N69" si="16">M38-K38</f>
        <v>8.34</v>
      </c>
      <c r="O38" s="1">
        <f t="shared" ref="O38:O69" si="17">L38-N38</f>
        <v>1.67</v>
      </c>
      <c r="P38" s="1">
        <f t="shared" ref="P38:P69" si="18">(L38-N38)/N38</f>
        <v>0.20023980815347722</v>
      </c>
      <c r="Q38" s="1">
        <f t="shared" ref="Q38:Q69" si="19">(1-P38)*I38</f>
        <v>103.91284172661871</v>
      </c>
      <c r="R38" s="1">
        <v>20.03</v>
      </c>
      <c r="S38" s="1">
        <f t="shared" ref="S38:S69" si="20">(1-P38)*R38</f>
        <v>16.019196642685852</v>
      </c>
      <c r="T38" s="13">
        <v>8.1910000000000007</v>
      </c>
      <c r="U38" s="22">
        <v>7.8810000000000002</v>
      </c>
      <c r="V38" s="12">
        <v>7.1020000000000003</v>
      </c>
      <c r="W38" s="12">
        <v>0.14724592820281202</v>
      </c>
      <c r="X38" s="12">
        <v>7.3565746369012003E-2</v>
      </c>
      <c r="Y38" s="12">
        <v>9.6470779938586304</v>
      </c>
      <c r="Z38" s="12">
        <v>2.6121455655330199</v>
      </c>
      <c r="AA38" s="12">
        <v>41.785539915805103</v>
      </c>
      <c r="AB38" s="12">
        <v>0.56965006310635302</v>
      </c>
      <c r="AC38" s="12">
        <v>13.309393602183802</v>
      </c>
      <c r="AD38" s="12">
        <v>4.0047270233971402</v>
      </c>
      <c r="AE38" s="23">
        <v>1.3292971595926102</v>
      </c>
      <c r="AF38" s="1"/>
      <c r="AG38" s="1"/>
      <c r="AH38" s="22">
        <f t="shared" ref="AH38:AH69" si="21">U38/$S38</f>
        <v>0.49197223654772715</v>
      </c>
      <c r="AI38" s="12">
        <f t="shared" ref="AI38:AI69" si="22">V38/$S38</f>
        <v>0.44334308133002892</v>
      </c>
      <c r="AJ38" s="12">
        <f t="shared" ref="AJ38:AJ69" si="23">W38/$S38</f>
        <v>9.1918422307427326E-3</v>
      </c>
      <c r="AK38" s="12">
        <f t="shared" ref="AK38:AK69" si="24">X38/$S38</f>
        <v>4.5923492925346622E-3</v>
      </c>
      <c r="AL38" s="12">
        <f t="shared" ref="AL38:AL69" si="25">Y38/$S38</f>
        <v>0.60221983717662619</v>
      </c>
      <c r="AM38" s="12">
        <f t="shared" ref="AM38:AM69" si="26">Z38/$S38</f>
        <v>0.16306345591466911</v>
      </c>
      <c r="AN38" s="12">
        <f t="shared" ref="AN38:AN69" si="27">AA38/$S38</f>
        <v>2.6084666321193963</v>
      </c>
      <c r="AO38" s="12">
        <f t="shared" ref="AO38:AO69" si="28">AB38/$S38</f>
        <v>3.5560463849255979E-2</v>
      </c>
      <c r="AP38" s="12">
        <f t="shared" ref="AP38:AP69" si="29">AC38/$S38</f>
        <v>0.8308402661540889</v>
      </c>
      <c r="AQ38" s="12">
        <f t="shared" ref="AQ38:AQ69" si="30">AD38/$S38</f>
        <v>0.24999549682322203</v>
      </c>
      <c r="AR38" s="23">
        <f t="shared" ref="AR38:AR69" si="31">AE38/$S38</f>
        <v>8.2981512072239236E-2</v>
      </c>
      <c r="AS38" s="1"/>
    </row>
    <row r="39" spans="1:45" ht="15.75" customHeight="1">
      <c r="A39" s="29" t="s">
        <v>183</v>
      </c>
      <c r="B39" s="29">
        <v>34</v>
      </c>
      <c r="C39" s="4" t="s">
        <v>184</v>
      </c>
      <c r="D39" s="4" t="s">
        <v>37</v>
      </c>
      <c r="E39" s="5">
        <v>45812</v>
      </c>
      <c r="F39" s="5" t="s">
        <v>164</v>
      </c>
      <c r="G39" s="5" t="s">
        <v>165</v>
      </c>
      <c r="H39" s="4">
        <v>334.57</v>
      </c>
      <c r="I39" s="4">
        <v>219.46</v>
      </c>
      <c r="J39" s="4" t="s">
        <v>159</v>
      </c>
      <c r="K39" s="1">
        <v>2.59</v>
      </c>
      <c r="L39" s="1">
        <v>10.01</v>
      </c>
      <c r="M39" s="1">
        <v>10.55</v>
      </c>
      <c r="N39" s="1">
        <f t="shared" si="16"/>
        <v>7.9600000000000009</v>
      </c>
      <c r="O39" s="1">
        <f t="shared" si="17"/>
        <v>2.0499999999999989</v>
      </c>
      <c r="P39" s="1">
        <f t="shared" si="18"/>
        <v>0.25753768844221092</v>
      </c>
      <c r="Q39" s="1">
        <f t="shared" si="19"/>
        <v>162.9407788944724</v>
      </c>
      <c r="R39" s="1">
        <v>20</v>
      </c>
      <c r="S39" s="1">
        <f t="shared" si="20"/>
        <v>14.849246231155782</v>
      </c>
      <c r="T39" s="13">
        <v>8.0370000000000008</v>
      </c>
      <c r="U39" s="22">
        <v>9.4459999999999997</v>
      </c>
      <c r="V39" s="12">
        <v>10.85</v>
      </c>
      <c r="W39" s="12">
        <v>0.17982961107801501</v>
      </c>
      <c r="X39" s="12">
        <v>3.6970259981564398E-2</v>
      </c>
      <c r="Y39" s="12">
        <v>9.4329731845266487</v>
      </c>
      <c r="Z39" s="12">
        <v>3.08252907608553</v>
      </c>
      <c r="AA39" s="12">
        <v>42.135300481772298</v>
      </c>
      <c r="AB39" s="12">
        <v>0.54291950381009302</v>
      </c>
      <c r="AC39" s="12">
        <v>12.2732786703538</v>
      </c>
      <c r="AD39" s="12">
        <v>3.82560588574108</v>
      </c>
      <c r="AE39" s="23">
        <v>1.94374156078604</v>
      </c>
      <c r="AF39" s="1"/>
      <c r="AG39" s="1"/>
      <c r="AH39" s="22">
        <f t="shared" si="21"/>
        <v>0.63612656514382393</v>
      </c>
      <c r="AI39" s="12">
        <f t="shared" si="22"/>
        <v>0.73067681895093051</v>
      </c>
      <c r="AJ39" s="12">
        <f t="shared" si="23"/>
        <v>1.2110352827250417E-2</v>
      </c>
      <c r="AK39" s="12">
        <f t="shared" si="24"/>
        <v>2.4897061713473143E-3</v>
      </c>
      <c r="AL39" s="12">
        <f t="shared" si="25"/>
        <v>0.63524929398335117</v>
      </c>
      <c r="AM39" s="12">
        <f t="shared" si="26"/>
        <v>0.20758825250119131</v>
      </c>
      <c r="AN39" s="12">
        <f t="shared" si="27"/>
        <v>2.8375380019873724</v>
      </c>
      <c r="AO39" s="12">
        <f t="shared" si="28"/>
        <v>3.6562091796348048E-2</v>
      </c>
      <c r="AP39" s="12">
        <f t="shared" si="29"/>
        <v>0.8265253656177346</v>
      </c>
      <c r="AQ39" s="12">
        <f t="shared" si="30"/>
        <v>0.25762963494499991</v>
      </c>
      <c r="AR39" s="23">
        <f t="shared" si="31"/>
        <v>0.13089833184312077</v>
      </c>
      <c r="AS39" s="1"/>
    </row>
    <row r="40" spans="1:45" ht="15.75" customHeight="1">
      <c r="A40" s="29" t="s">
        <v>185</v>
      </c>
      <c r="B40" s="29">
        <v>35</v>
      </c>
      <c r="C40" s="4" t="s">
        <v>186</v>
      </c>
      <c r="D40" s="4" t="s">
        <v>37</v>
      </c>
      <c r="E40" s="5">
        <v>45812</v>
      </c>
      <c r="F40" s="5" t="s">
        <v>164</v>
      </c>
      <c r="G40" s="5" t="s">
        <v>165</v>
      </c>
      <c r="H40" s="4">
        <v>206.26</v>
      </c>
      <c r="I40" s="4">
        <v>166</v>
      </c>
      <c r="J40" s="4" t="s">
        <v>187</v>
      </c>
      <c r="K40" s="1">
        <v>2.62</v>
      </c>
      <c r="L40" s="1">
        <v>10.01</v>
      </c>
      <c r="M40" s="1">
        <v>11.2</v>
      </c>
      <c r="N40" s="1">
        <f t="shared" si="16"/>
        <v>8.5799999999999983</v>
      </c>
      <c r="O40" s="1">
        <f t="shared" si="17"/>
        <v>1.4300000000000015</v>
      </c>
      <c r="P40" s="1">
        <f t="shared" si="18"/>
        <v>0.16666666666666688</v>
      </c>
      <c r="Q40" s="1">
        <f t="shared" si="19"/>
        <v>138.33333333333331</v>
      </c>
      <c r="R40" s="1">
        <v>19.989999999999998</v>
      </c>
      <c r="S40" s="1">
        <f t="shared" si="20"/>
        <v>16.658333333333328</v>
      </c>
      <c r="T40" s="13">
        <v>8.3569999999999993</v>
      </c>
      <c r="U40" s="22">
        <v>10.09</v>
      </c>
      <c r="V40" s="12">
        <v>9.1419999999999995</v>
      </c>
      <c r="W40" s="12">
        <v>0.14139621283540799</v>
      </c>
      <c r="X40" s="12">
        <v>2.77011413273009E-2</v>
      </c>
      <c r="Y40" s="12">
        <v>9.7051545328053308</v>
      </c>
      <c r="Z40" s="12">
        <v>3.1395866495729301</v>
      </c>
      <c r="AA40" s="12">
        <v>40.649709249671503</v>
      </c>
      <c r="AB40" s="12">
        <v>0.51078935516429402</v>
      </c>
      <c r="AC40" s="12">
        <v>10.0462354159162</v>
      </c>
      <c r="AD40" s="12">
        <v>2.32459988082688</v>
      </c>
      <c r="AE40" s="23">
        <v>1.01283521803577</v>
      </c>
      <c r="AF40" s="1"/>
      <c r="AG40" s="1"/>
      <c r="AH40" s="22">
        <f t="shared" si="21"/>
        <v>0.60570285142571301</v>
      </c>
      <c r="AI40" s="12">
        <f t="shared" si="22"/>
        <v>0.54879439719859946</v>
      </c>
      <c r="AJ40" s="12">
        <f t="shared" si="23"/>
        <v>8.4880167785137389E-3</v>
      </c>
      <c r="AK40" s="12">
        <f t="shared" si="24"/>
        <v>1.6628999296028561E-3</v>
      </c>
      <c r="AL40" s="12">
        <f t="shared" si="25"/>
        <v>0.58260057225444728</v>
      </c>
      <c r="AM40" s="12">
        <f t="shared" si="26"/>
        <v>0.18846943369122149</v>
      </c>
      <c r="AN40" s="12">
        <f t="shared" si="27"/>
        <v>2.4402026563084451</v>
      </c>
      <c r="AO40" s="12">
        <f t="shared" si="28"/>
        <v>3.0662692656185743E-2</v>
      </c>
      <c r="AP40" s="12">
        <f t="shared" si="29"/>
        <v>0.60307566278636537</v>
      </c>
      <c r="AQ40" s="12">
        <f t="shared" si="30"/>
        <v>0.13954576573247909</v>
      </c>
      <c r="AR40" s="23">
        <f t="shared" si="31"/>
        <v>6.0800513338815629E-2</v>
      </c>
      <c r="AS40" s="1"/>
    </row>
    <row r="41" spans="1:45" ht="15.75" customHeight="1">
      <c r="A41" s="29" t="s">
        <v>188</v>
      </c>
      <c r="B41" s="29">
        <v>36</v>
      </c>
      <c r="C41" s="4" t="s">
        <v>189</v>
      </c>
      <c r="D41" s="4" t="s">
        <v>37</v>
      </c>
      <c r="E41" s="5">
        <v>45812</v>
      </c>
      <c r="F41" s="5" t="s">
        <v>164</v>
      </c>
      <c r="G41" s="5" t="s">
        <v>165</v>
      </c>
      <c r="H41" s="4">
        <v>311.16000000000003</v>
      </c>
      <c r="I41" s="4">
        <v>287.8</v>
      </c>
      <c r="J41" s="4" t="s">
        <v>124</v>
      </c>
      <c r="K41" s="1">
        <v>2.56</v>
      </c>
      <c r="L41" s="1">
        <v>10.01</v>
      </c>
      <c r="M41" s="1">
        <v>10.51</v>
      </c>
      <c r="N41" s="1">
        <f t="shared" si="16"/>
        <v>7.9499999999999993</v>
      </c>
      <c r="O41" s="1">
        <f t="shared" si="17"/>
        <v>2.0600000000000005</v>
      </c>
      <c r="P41" s="1">
        <f t="shared" si="18"/>
        <v>0.25911949685534602</v>
      </c>
      <c r="Q41" s="1">
        <f t="shared" si="19"/>
        <v>213.22540880503141</v>
      </c>
      <c r="R41" s="1">
        <v>20.010000000000002</v>
      </c>
      <c r="S41" s="1">
        <f t="shared" si="20"/>
        <v>14.825018867924527</v>
      </c>
      <c r="T41" s="13">
        <v>6.8259999999999996</v>
      </c>
      <c r="U41" s="22">
        <v>8.9830000000000005</v>
      </c>
      <c r="V41" s="12">
        <v>32.26</v>
      </c>
      <c r="W41" s="12">
        <v>0.45781137645357101</v>
      </c>
      <c r="X41" s="12">
        <v>0.39557057795479</v>
      </c>
      <c r="Y41" s="12">
        <v>10.866289627082399</v>
      </c>
      <c r="Z41" s="12">
        <v>3.9747485264503202</v>
      </c>
      <c r="AA41" s="12">
        <v>32.716881591259096</v>
      </c>
      <c r="AB41" s="12">
        <v>0.69191152476974804</v>
      </c>
      <c r="AC41" s="12">
        <v>61.859129546241398</v>
      </c>
      <c r="AD41" s="12">
        <v>50.428705753986598</v>
      </c>
      <c r="AE41" s="23">
        <v>4.9213079594762803</v>
      </c>
      <c r="AF41" s="1"/>
      <c r="AG41" s="1"/>
      <c r="AH41" s="22">
        <f t="shared" si="21"/>
        <v>0.60593514787597724</v>
      </c>
      <c r="AI41" s="12">
        <f t="shared" si="22"/>
        <v>2.1760511934185711</v>
      </c>
      <c r="AJ41" s="12">
        <f t="shared" si="23"/>
        <v>3.088099789499045E-2</v>
      </c>
      <c r="AK41" s="12">
        <f t="shared" si="24"/>
        <v>2.6682635717290598E-2</v>
      </c>
      <c r="AL41" s="12">
        <f t="shared" si="25"/>
        <v>0.7329696996603996</v>
      </c>
      <c r="AM41" s="12">
        <f t="shared" si="26"/>
        <v>0.26811085785867717</v>
      </c>
      <c r="AN41" s="12">
        <f t="shared" si="27"/>
        <v>2.2068694740109556</v>
      </c>
      <c r="AO41" s="12">
        <f t="shared" si="28"/>
        <v>4.667188156277971E-2</v>
      </c>
      <c r="AP41" s="12">
        <f t="shared" si="29"/>
        <v>4.1726172558255605</v>
      </c>
      <c r="AQ41" s="12">
        <f t="shared" si="30"/>
        <v>3.4015947098114228</v>
      </c>
      <c r="AR41" s="23">
        <f t="shared" si="31"/>
        <v>0.33195964223182495</v>
      </c>
      <c r="AS41" s="1"/>
    </row>
    <row r="42" spans="1:45" ht="15.75" customHeight="1">
      <c r="A42" s="29" t="s">
        <v>190</v>
      </c>
      <c r="B42" s="29">
        <v>37</v>
      </c>
      <c r="C42" s="4" t="s">
        <v>191</v>
      </c>
      <c r="D42" s="4" t="s">
        <v>37</v>
      </c>
      <c r="E42" s="5">
        <v>45812</v>
      </c>
      <c r="F42" s="5" t="s">
        <v>164</v>
      </c>
      <c r="G42" s="5" t="s">
        <v>165</v>
      </c>
      <c r="H42" s="4">
        <v>263.45999999999998</v>
      </c>
      <c r="I42" s="4">
        <v>252.27</v>
      </c>
      <c r="J42" s="4" t="s">
        <v>192</v>
      </c>
      <c r="K42" s="1">
        <v>2.6</v>
      </c>
      <c r="L42" s="1">
        <v>10</v>
      </c>
      <c r="M42" s="1">
        <v>10.28</v>
      </c>
      <c r="N42" s="1">
        <f t="shared" si="16"/>
        <v>7.68</v>
      </c>
      <c r="O42" s="1">
        <f t="shared" si="17"/>
        <v>2.3200000000000003</v>
      </c>
      <c r="P42" s="1">
        <f t="shared" si="18"/>
        <v>0.30208333333333337</v>
      </c>
      <c r="Q42" s="1">
        <f t="shared" si="19"/>
        <v>176.06343749999999</v>
      </c>
      <c r="R42" s="1">
        <v>19.989999999999998</v>
      </c>
      <c r="S42" s="1">
        <f t="shared" si="20"/>
        <v>13.951354166666665</v>
      </c>
      <c r="T42" s="13">
        <v>6.907</v>
      </c>
      <c r="U42" s="22">
        <v>10.28</v>
      </c>
      <c r="V42" s="12">
        <v>40.97</v>
      </c>
      <c r="W42" s="12">
        <v>0.48688476738245501</v>
      </c>
      <c r="X42" s="12">
        <v>0.50159501870411605</v>
      </c>
      <c r="Y42" s="12">
        <v>10.0937588596453</v>
      </c>
      <c r="Z42" s="12">
        <v>4.5949172644598004</v>
      </c>
      <c r="AA42" s="12">
        <v>30.4776100203499</v>
      </c>
      <c r="AB42" s="12">
        <v>0.75741343535373995</v>
      </c>
      <c r="AC42" s="12">
        <v>70.612658715593</v>
      </c>
      <c r="AD42" s="12">
        <v>45.057671647456097</v>
      </c>
      <c r="AE42" s="23">
        <v>4.6227294241652404</v>
      </c>
      <c r="AF42" s="1"/>
      <c r="AG42" s="1"/>
      <c r="AH42" s="22">
        <f t="shared" si="21"/>
        <v>0.73684603495777745</v>
      </c>
      <c r="AI42" s="12">
        <f t="shared" si="22"/>
        <v>2.9366324953521539</v>
      </c>
      <c r="AJ42" s="12">
        <f t="shared" si="23"/>
        <v>3.4898746140768655E-2</v>
      </c>
      <c r="AK42" s="12">
        <f t="shared" si="24"/>
        <v>3.5953142090145926E-2</v>
      </c>
      <c r="AL42" s="12">
        <f t="shared" si="25"/>
        <v>0.72349671143478378</v>
      </c>
      <c r="AM42" s="12">
        <f t="shared" si="26"/>
        <v>0.32935277891792231</v>
      </c>
      <c r="AN42" s="12">
        <f t="shared" si="27"/>
        <v>2.1845628500471062</v>
      </c>
      <c r="AO42" s="12">
        <f t="shared" si="28"/>
        <v>5.4289599870053717E-2</v>
      </c>
      <c r="AP42" s="12">
        <f t="shared" si="29"/>
        <v>5.0613480148260166</v>
      </c>
      <c r="AQ42" s="12">
        <f t="shared" si="30"/>
        <v>3.2296271106865269</v>
      </c>
      <c r="AR42" s="23">
        <f t="shared" si="31"/>
        <v>0.33134628860688786</v>
      </c>
      <c r="AS42" s="1"/>
    </row>
    <row r="43" spans="1:45" ht="15.75" customHeight="1">
      <c r="A43" s="29" t="s">
        <v>193</v>
      </c>
      <c r="B43" s="29">
        <v>38</v>
      </c>
      <c r="C43" s="4" t="s">
        <v>194</v>
      </c>
      <c r="D43" s="4" t="s">
        <v>37</v>
      </c>
      <c r="E43" s="5">
        <v>45813</v>
      </c>
      <c r="F43" s="5" t="s">
        <v>164</v>
      </c>
      <c r="G43" s="5" t="s">
        <v>165</v>
      </c>
      <c r="H43" s="4">
        <v>306.88</v>
      </c>
      <c r="I43" s="4">
        <v>297.45999999999998</v>
      </c>
      <c r="J43" s="4" t="s">
        <v>195</v>
      </c>
      <c r="K43" s="1">
        <v>2.61</v>
      </c>
      <c r="L43" s="1">
        <v>10.029999999999999</v>
      </c>
      <c r="M43" s="1">
        <v>10.75</v>
      </c>
      <c r="N43" s="1">
        <f t="shared" si="16"/>
        <v>8.14</v>
      </c>
      <c r="O43" s="1">
        <f t="shared" si="17"/>
        <v>1.8899999999999988</v>
      </c>
      <c r="P43" s="1">
        <f t="shared" si="18"/>
        <v>0.23218673218673203</v>
      </c>
      <c r="Q43" s="1">
        <f t="shared" si="19"/>
        <v>228.39373464373469</v>
      </c>
      <c r="R43" s="1">
        <v>20</v>
      </c>
      <c r="S43" s="1">
        <f t="shared" si="20"/>
        <v>15.356265356265359</v>
      </c>
      <c r="T43" s="13">
        <v>6.8739999999999997</v>
      </c>
      <c r="U43" s="22">
        <v>10.532999999999999</v>
      </c>
      <c r="V43" s="12">
        <v>27.07</v>
      </c>
      <c r="W43" s="12">
        <v>0.50881758475776595</v>
      </c>
      <c r="X43" s="12">
        <v>0.68243100778046095</v>
      </c>
      <c r="Y43" s="12">
        <v>9.0744356653642999</v>
      </c>
      <c r="Z43" s="12">
        <v>4.7568936510140603</v>
      </c>
      <c r="AA43" s="12">
        <v>33.9618953341203</v>
      </c>
      <c r="AB43" s="12">
        <v>0.60430781846112402</v>
      </c>
      <c r="AC43" s="12">
        <v>66.071286428507989</v>
      </c>
      <c r="AD43" s="12">
        <v>51.842636820991601</v>
      </c>
      <c r="AE43" s="23">
        <v>5.9084331737143199</v>
      </c>
      <c r="AF43" s="1"/>
      <c r="AG43" s="1"/>
      <c r="AH43" s="22">
        <f t="shared" si="21"/>
        <v>0.68590895999999979</v>
      </c>
      <c r="AI43" s="12">
        <f t="shared" si="22"/>
        <v>1.7627983999999997</v>
      </c>
      <c r="AJ43" s="12">
        <f t="shared" si="23"/>
        <v>3.3134201119425714E-2</v>
      </c>
      <c r="AK43" s="12">
        <f t="shared" si="24"/>
        <v>4.4439907226663612E-2</v>
      </c>
      <c r="AL43" s="12">
        <f t="shared" si="25"/>
        <v>0.59092725052852313</v>
      </c>
      <c r="AM43" s="12">
        <f t="shared" si="26"/>
        <v>0.30976891455403555</v>
      </c>
      <c r="AN43" s="12">
        <f t="shared" si="27"/>
        <v>2.2115986241579133</v>
      </c>
      <c r="AO43" s="12">
        <f t="shared" si="28"/>
        <v>3.9352525138188391E-2</v>
      </c>
      <c r="AP43" s="12">
        <f t="shared" si="29"/>
        <v>4.3025621722244392</v>
      </c>
      <c r="AQ43" s="12">
        <f t="shared" si="30"/>
        <v>3.3759925097829724</v>
      </c>
      <c r="AR43" s="23">
        <f t="shared" si="31"/>
        <v>0.38475716827227646</v>
      </c>
      <c r="AS43" s="1"/>
    </row>
    <row r="44" spans="1:45" ht="15.75" customHeight="1">
      <c r="A44" s="29" t="s">
        <v>196</v>
      </c>
      <c r="B44" s="29">
        <v>39</v>
      </c>
      <c r="C44" s="4" t="s">
        <v>197</v>
      </c>
      <c r="D44" s="4" t="s">
        <v>37</v>
      </c>
      <c r="E44" s="5">
        <v>45807</v>
      </c>
      <c r="F44" s="5" t="s">
        <v>164</v>
      </c>
      <c r="G44" s="5" t="s">
        <v>165</v>
      </c>
      <c r="H44" s="4">
        <v>303.98</v>
      </c>
      <c r="I44" s="4">
        <v>282.99</v>
      </c>
      <c r="J44" s="4" t="s">
        <v>198</v>
      </c>
      <c r="K44" s="1">
        <v>2.57</v>
      </c>
      <c r="L44" s="1">
        <v>10</v>
      </c>
      <c r="M44" s="1">
        <v>9.57</v>
      </c>
      <c r="N44" s="1">
        <f t="shared" si="16"/>
        <v>7</v>
      </c>
      <c r="O44" s="1">
        <f t="shared" si="17"/>
        <v>3</v>
      </c>
      <c r="P44" s="1">
        <f t="shared" si="18"/>
        <v>0.42857142857142855</v>
      </c>
      <c r="Q44" s="1">
        <f t="shared" si="19"/>
        <v>161.70857142857142</v>
      </c>
      <c r="R44" s="1">
        <v>20</v>
      </c>
      <c r="S44" s="1">
        <f t="shared" si="20"/>
        <v>11.428571428571427</v>
      </c>
      <c r="T44" s="13">
        <v>7.14</v>
      </c>
      <c r="U44" s="22">
        <v>27.18</v>
      </c>
      <c r="V44" s="12">
        <v>21.51</v>
      </c>
      <c r="W44" s="12">
        <v>0.224720156038169</v>
      </c>
      <c r="X44" s="12">
        <v>9.9809089601718998E-2</v>
      </c>
      <c r="Y44" s="12">
        <v>11.813162137692499</v>
      </c>
      <c r="Z44" s="12">
        <v>8.0675317642493205</v>
      </c>
      <c r="AA44" s="12">
        <v>32.499750289720197</v>
      </c>
      <c r="AB44" s="12">
        <v>0.66136818462350699</v>
      </c>
      <c r="AC44" s="12">
        <v>62.179913057214002</v>
      </c>
      <c r="AD44" s="12">
        <v>23.150415429618501</v>
      </c>
      <c r="AE44" s="23">
        <v>5.2820885364999199</v>
      </c>
      <c r="AF44" s="1"/>
      <c r="AG44" s="1"/>
      <c r="AH44" s="22">
        <f t="shared" si="21"/>
        <v>2.3782500000000004</v>
      </c>
      <c r="AI44" s="12">
        <f t="shared" si="22"/>
        <v>1.8821250000000005</v>
      </c>
      <c r="AJ44" s="12">
        <f t="shared" si="23"/>
        <v>1.9663013653339789E-2</v>
      </c>
      <c r="AK44" s="12">
        <f t="shared" si="24"/>
        <v>8.7332953401504133E-3</v>
      </c>
      <c r="AL44" s="12">
        <f t="shared" si="25"/>
        <v>1.0336516870480938</v>
      </c>
      <c r="AM44" s="12">
        <f t="shared" si="26"/>
        <v>0.70590902937181566</v>
      </c>
      <c r="AN44" s="12">
        <f t="shared" si="27"/>
        <v>2.8437281503505174</v>
      </c>
      <c r="AO44" s="12">
        <f t="shared" si="28"/>
        <v>5.7869716154556869E-2</v>
      </c>
      <c r="AP44" s="12">
        <f t="shared" si="29"/>
        <v>5.4407423925062259</v>
      </c>
      <c r="AQ44" s="12">
        <f t="shared" si="30"/>
        <v>2.0256613500916192</v>
      </c>
      <c r="AR44" s="23">
        <f t="shared" si="31"/>
        <v>0.46218274694374306</v>
      </c>
      <c r="AS44" s="1"/>
    </row>
    <row r="45" spans="1:45" ht="15.75" customHeight="1">
      <c r="A45" s="29" t="s">
        <v>199</v>
      </c>
      <c r="B45" s="29">
        <v>40</v>
      </c>
      <c r="C45" s="4" t="s">
        <v>200</v>
      </c>
      <c r="D45" s="4" t="s">
        <v>37</v>
      </c>
      <c r="E45" s="5">
        <v>45807</v>
      </c>
      <c r="F45" s="5" t="s">
        <v>164</v>
      </c>
      <c r="G45" s="5" t="s">
        <v>165</v>
      </c>
      <c r="H45" s="4">
        <v>278.83999999999997</v>
      </c>
      <c r="I45" s="4">
        <v>254.49</v>
      </c>
      <c r="J45" s="4" t="s">
        <v>201</v>
      </c>
      <c r="K45" s="1">
        <v>2.56</v>
      </c>
      <c r="L45" s="1">
        <v>10.01</v>
      </c>
      <c r="M45" s="1">
        <v>10.73</v>
      </c>
      <c r="N45" s="1">
        <f t="shared" si="16"/>
        <v>8.17</v>
      </c>
      <c r="O45" s="1">
        <f t="shared" si="17"/>
        <v>1.8399999999999999</v>
      </c>
      <c r="P45" s="1">
        <f t="shared" si="18"/>
        <v>0.2252141982864137</v>
      </c>
      <c r="Q45" s="1">
        <f t="shared" si="19"/>
        <v>197.17523867809058</v>
      </c>
      <c r="R45" s="1">
        <v>20.010000000000002</v>
      </c>
      <c r="S45" s="1">
        <f t="shared" si="20"/>
        <v>15.503463892288861</v>
      </c>
      <c r="T45" s="13">
        <v>7.7380000000000004</v>
      </c>
      <c r="U45" s="22">
        <v>16.254000000000001</v>
      </c>
      <c r="V45" s="12">
        <v>21.18</v>
      </c>
      <c r="W45" s="12">
        <v>0.174419935306907</v>
      </c>
      <c r="X45" s="12">
        <v>2.7611644647714699E-2</v>
      </c>
      <c r="Y45" s="12">
        <v>8.4314033515693794</v>
      </c>
      <c r="Z45" s="12">
        <v>7.8994204955678002</v>
      </c>
      <c r="AA45" s="12">
        <v>30.204555961798</v>
      </c>
      <c r="AB45" s="12">
        <v>0.52697631848814497</v>
      </c>
      <c r="AC45" s="12">
        <v>50.3569247316683</v>
      </c>
      <c r="AD45" s="12">
        <v>22.051899837425299</v>
      </c>
      <c r="AE45" s="23">
        <v>5.6398627913981798</v>
      </c>
      <c r="AF45" s="1"/>
      <c r="AG45" s="1"/>
      <c r="AH45" s="22">
        <f t="shared" si="21"/>
        <v>1.0484108656572189</v>
      </c>
      <c r="AI45" s="12">
        <f t="shared" si="22"/>
        <v>1.3661463107308904</v>
      </c>
      <c r="AJ45" s="12">
        <f t="shared" si="23"/>
        <v>1.1250384850682322E-2</v>
      </c>
      <c r="AK45" s="12">
        <f t="shared" si="24"/>
        <v>1.7809984168407826E-3</v>
      </c>
      <c r="AL45" s="12">
        <f t="shared" si="25"/>
        <v>0.54383997087018754</v>
      </c>
      <c r="AM45" s="12">
        <f t="shared" si="26"/>
        <v>0.50952616463323575</v>
      </c>
      <c r="AN45" s="12">
        <f t="shared" si="27"/>
        <v>1.9482456418543466</v>
      </c>
      <c r="AO45" s="12">
        <f t="shared" si="28"/>
        <v>3.3990875984189144E-2</v>
      </c>
      <c r="AP45" s="12">
        <f t="shared" si="29"/>
        <v>3.2481079764835594</v>
      </c>
      <c r="AQ45" s="12">
        <f t="shared" si="30"/>
        <v>1.4223853450191548</v>
      </c>
      <c r="AR45" s="23">
        <f t="shared" si="31"/>
        <v>0.36378081895642328</v>
      </c>
      <c r="AS45" s="1"/>
    </row>
    <row r="46" spans="1:45" ht="15.75" customHeight="1">
      <c r="A46" s="29" t="s">
        <v>202</v>
      </c>
      <c r="B46" s="29">
        <v>41</v>
      </c>
      <c r="C46" s="4" t="s">
        <v>203</v>
      </c>
      <c r="D46" s="4" t="s">
        <v>37</v>
      </c>
      <c r="E46" s="5">
        <v>45807</v>
      </c>
      <c r="F46" s="5" t="s">
        <v>164</v>
      </c>
      <c r="G46" s="5" t="s">
        <v>165</v>
      </c>
      <c r="H46" s="4">
        <v>297.77999999999997</v>
      </c>
      <c r="I46" s="4">
        <v>234.83</v>
      </c>
      <c r="J46" s="4" t="s">
        <v>204</v>
      </c>
      <c r="K46" s="1">
        <v>2.59</v>
      </c>
      <c r="L46" s="1">
        <v>10.01</v>
      </c>
      <c r="M46" s="1">
        <v>10.33</v>
      </c>
      <c r="N46" s="1">
        <f t="shared" si="16"/>
        <v>7.74</v>
      </c>
      <c r="O46" s="1">
        <f t="shared" si="17"/>
        <v>2.2699999999999996</v>
      </c>
      <c r="P46" s="1">
        <f t="shared" si="18"/>
        <v>0.29328165374676995</v>
      </c>
      <c r="Q46" s="1">
        <f t="shared" si="19"/>
        <v>165.95866925064601</v>
      </c>
      <c r="R46" s="1">
        <v>20</v>
      </c>
      <c r="S46" s="1">
        <f t="shared" si="20"/>
        <v>14.134366925064601</v>
      </c>
      <c r="T46" s="13">
        <v>7.125</v>
      </c>
      <c r="U46" s="22">
        <v>20.98</v>
      </c>
      <c r="V46" s="12">
        <v>25.9</v>
      </c>
      <c r="W46" s="12">
        <v>0.25561692741499098</v>
      </c>
      <c r="X46" s="12">
        <v>3.1073913623561301E-2</v>
      </c>
      <c r="Y46" s="12">
        <v>9.4274523112750792</v>
      </c>
      <c r="Z46" s="12">
        <v>7.8607499953652002</v>
      </c>
      <c r="AA46" s="12">
        <v>40.898747351275006</v>
      </c>
      <c r="AB46" s="12">
        <v>0.63331396416736196</v>
      </c>
      <c r="AC46" s="12">
        <v>59.291939810574299</v>
      </c>
      <c r="AD46" s="12">
        <v>30.381807490503498</v>
      </c>
      <c r="AE46" s="23">
        <v>5.5980105939192697</v>
      </c>
      <c r="AF46" s="1"/>
      <c r="AG46" s="1"/>
      <c r="AH46" s="22">
        <f t="shared" si="21"/>
        <v>1.4843254113345521</v>
      </c>
      <c r="AI46" s="12">
        <f t="shared" si="22"/>
        <v>1.832413162705667</v>
      </c>
      <c r="AJ46" s="12">
        <f t="shared" si="23"/>
        <v>1.8084780787861333E-2</v>
      </c>
      <c r="AK46" s="12">
        <f t="shared" si="24"/>
        <v>2.1984651868954702E-3</v>
      </c>
      <c r="AL46" s="12">
        <f t="shared" si="25"/>
        <v>0.66698794231507408</v>
      </c>
      <c r="AM46" s="12">
        <f t="shared" si="26"/>
        <v>0.55614446950755614</v>
      </c>
      <c r="AN46" s="12">
        <f t="shared" si="27"/>
        <v>2.8935676828050139</v>
      </c>
      <c r="AO46" s="12">
        <f t="shared" si="28"/>
        <v>4.4806673516045531E-2</v>
      </c>
      <c r="AP46" s="12">
        <f t="shared" si="29"/>
        <v>4.1948776429053476</v>
      </c>
      <c r="AQ46" s="12">
        <f t="shared" si="30"/>
        <v>2.1494989943007043</v>
      </c>
      <c r="AR46" s="23">
        <f t="shared" si="31"/>
        <v>0.3960566910140324</v>
      </c>
      <c r="AS46" s="1"/>
    </row>
    <row r="47" spans="1:45" ht="15.75" customHeight="1">
      <c r="A47" s="29" t="s">
        <v>205</v>
      </c>
      <c r="B47" s="29">
        <v>42</v>
      </c>
      <c r="C47" s="4" t="s">
        <v>206</v>
      </c>
      <c r="D47" s="4" t="s">
        <v>37</v>
      </c>
      <c r="E47" s="5">
        <v>45805</v>
      </c>
      <c r="F47" s="5" t="s">
        <v>164</v>
      </c>
      <c r="G47" s="5" t="s">
        <v>165</v>
      </c>
      <c r="H47" s="4">
        <v>301.52</v>
      </c>
      <c r="I47" s="4">
        <v>273.97000000000003</v>
      </c>
      <c r="J47" s="4" t="s">
        <v>207</v>
      </c>
      <c r="K47" s="1">
        <v>2.59</v>
      </c>
      <c r="L47" s="1">
        <v>10.01</v>
      </c>
      <c r="M47" s="1">
        <v>10.62</v>
      </c>
      <c r="N47" s="1">
        <f t="shared" si="16"/>
        <v>8.0299999999999994</v>
      </c>
      <c r="O47" s="1">
        <f t="shared" si="17"/>
        <v>1.9800000000000004</v>
      </c>
      <c r="P47" s="1">
        <f t="shared" si="18"/>
        <v>0.24657534246575349</v>
      </c>
      <c r="Q47" s="1">
        <f t="shared" si="19"/>
        <v>206.41575342465754</v>
      </c>
      <c r="R47" s="1">
        <v>19.989999999999998</v>
      </c>
      <c r="S47" s="1">
        <f t="shared" si="20"/>
        <v>15.060958904109587</v>
      </c>
      <c r="T47" s="13">
        <v>7.8070000000000004</v>
      </c>
      <c r="U47" s="22">
        <v>27.05</v>
      </c>
      <c r="V47" s="12">
        <v>30.88</v>
      </c>
      <c r="W47" s="12">
        <v>0.25668613441277199</v>
      </c>
      <c r="X47" s="12">
        <v>3.6566542191208799E-2</v>
      </c>
      <c r="Y47" s="12">
        <v>13.340608078455</v>
      </c>
      <c r="Z47" s="12">
        <v>5.3471598025276599</v>
      </c>
      <c r="AA47" s="12">
        <v>64.890981082410207</v>
      </c>
      <c r="AB47" s="12">
        <v>0.70644358698802801</v>
      </c>
      <c r="AC47" s="12">
        <v>73.833478178128701</v>
      </c>
      <c r="AD47" s="12">
        <v>22.853155632836401</v>
      </c>
      <c r="AE47" s="23">
        <v>15.9120418917487</v>
      </c>
      <c r="AF47" s="1"/>
      <c r="AG47" s="1"/>
      <c r="AH47" s="22">
        <f t="shared" si="21"/>
        <v>1.7960343808267774</v>
      </c>
      <c r="AI47" s="12">
        <f t="shared" si="22"/>
        <v>2.0503342580381103</v>
      </c>
      <c r="AJ47" s="12">
        <f t="shared" si="23"/>
        <v>1.7043146857185283E-2</v>
      </c>
      <c r="AK47" s="12">
        <f t="shared" si="24"/>
        <v>2.4279026603831397E-3</v>
      </c>
      <c r="AL47" s="12">
        <f t="shared" si="25"/>
        <v>0.88577415046360919</v>
      </c>
      <c r="AM47" s="12">
        <f t="shared" si="26"/>
        <v>0.35503448595617737</v>
      </c>
      <c r="AN47" s="12">
        <f t="shared" si="27"/>
        <v>4.3085557497075317</v>
      </c>
      <c r="AO47" s="12">
        <f t="shared" si="28"/>
        <v>4.6905618127360091E-2</v>
      </c>
      <c r="AP47" s="12">
        <f t="shared" si="29"/>
        <v>4.902309251901765</v>
      </c>
      <c r="AQ47" s="12">
        <f t="shared" si="30"/>
        <v>1.5173771987785325</v>
      </c>
      <c r="AR47" s="23">
        <f t="shared" si="31"/>
        <v>1.056509216515217</v>
      </c>
      <c r="AS47" s="1"/>
    </row>
    <row r="48" spans="1:45" ht="15.75" customHeight="1">
      <c r="A48" s="29" t="s">
        <v>208</v>
      </c>
      <c r="B48" s="29">
        <v>43</v>
      </c>
      <c r="C48" s="4" t="s">
        <v>209</v>
      </c>
      <c r="D48" s="4" t="s">
        <v>37</v>
      </c>
      <c r="F48" s="5" t="s">
        <v>164</v>
      </c>
      <c r="G48" s="5" t="s">
        <v>165</v>
      </c>
      <c r="H48" s="4">
        <v>207.64</v>
      </c>
      <c r="I48" s="4">
        <v>96.26</v>
      </c>
      <c r="J48" s="4" t="s">
        <v>210</v>
      </c>
      <c r="K48" s="1">
        <v>2.38</v>
      </c>
      <c r="L48" s="1">
        <v>10</v>
      </c>
      <c r="M48" s="1">
        <v>9.8800000000000008</v>
      </c>
      <c r="N48" s="1">
        <f t="shared" si="16"/>
        <v>7.5000000000000009</v>
      </c>
      <c r="O48" s="1">
        <f t="shared" si="17"/>
        <v>2.4999999999999991</v>
      </c>
      <c r="P48" s="1">
        <f t="shared" si="18"/>
        <v>0.33333333333333315</v>
      </c>
      <c r="Q48" s="1">
        <f t="shared" si="19"/>
        <v>64.17333333333336</v>
      </c>
      <c r="R48" s="1">
        <v>20.010000000000002</v>
      </c>
      <c r="S48" s="1">
        <f t="shared" si="20"/>
        <v>13.340000000000005</v>
      </c>
      <c r="T48" s="13">
        <v>7.8840000000000003</v>
      </c>
      <c r="U48" s="22">
        <v>26.67</v>
      </c>
      <c r="V48" s="12">
        <v>35.14</v>
      </c>
      <c r="W48" s="12">
        <v>0.348881190077033</v>
      </c>
      <c r="X48" s="12">
        <v>4.3447016006280301E-2</v>
      </c>
      <c r="Y48" s="12">
        <v>16.8718391489022</v>
      </c>
      <c r="Z48" s="12">
        <v>5.3988764944451191</v>
      </c>
      <c r="AA48" s="12">
        <v>45.372430701523498</v>
      </c>
      <c r="AB48" s="12">
        <v>0.87590854145595298</v>
      </c>
      <c r="AC48" s="12">
        <v>77.958042064291604</v>
      </c>
      <c r="AD48" s="12">
        <v>25.223604267132099</v>
      </c>
      <c r="AE48" s="23">
        <v>12.4859569350205</v>
      </c>
      <c r="AF48" s="1"/>
      <c r="AG48" s="1"/>
      <c r="AH48" s="22">
        <f t="shared" si="21"/>
        <v>1.9992503748125932</v>
      </c>
      <c r="AI48" s="12">
        <f t="shared" si="22"/>
        <v>2.6341829085457262</v>
      </c>
      <c r="AJ48" s="12">
        <f t="shared" si="23"/>
        <v>2.6153012749402762E-2</v>
      </c>
      <c r="AK48" s="12">
        <f t="shared" si="24"/>
        <v>3.2568977515952235E-3</v>
      </c>
      <c r="AL48" s="12">
        <f t="shared" si="25"/>
        <v>1.2647555583884702</v>
      </c>
      <c r="AM48" s="12">
        <f t="shared" si="26"/>
        <v>0.40471338039318716</v>
      </c>
      <c r="AN48" s="12">
        <f t="shared" si="27"/>
        <v>3.4012316867708758</v>
      </c>
      <c r="AO48" s="12">
        <f t="shared" si="28"/>
        <v>6.5660310453969459E-2</v>
      </c>
      <c r="AP48" s="12">
        <f t="shared" si="29"/>
        <v>5.8439311892272547</v>
      </c>
      <c r="AQ48" s="12">
        <f t="shared" si="30"/>
        <v>1.8908249075811161</v>
      </c>
      <c r="AR48" s="23">
        <f t="shared" si="31"/>
        <v>0.93597878073616902</v>
      </c>
      <c r="AS48" s="1"/>
    </row>
    <row r="49" spans="1:45" ht="15.75" customHeight="1">
      <c r="A49" s="29" t="s">
        <v>211</v>
      </c>
      <c r="B49" s="29">
        <v>44</v>
      </c>
      <c r="C49" s="4" t="s">
        <v>212</v>
      </c>
      <c r="D49" s="4" t="s">
        <v>37</v>
      </c>
      <c r="E49" s="5">
        <v>45805</v>
      </c>
      <c r="F49" s="5" t="s">
        <v>164</v>
      </c>
      <c r="G49" s="5" t="s">
        <v>165</v>
      </c>
      <c r="H49" s="4">
        <v>227.26</v>
      </c>
      <c r="I49" s="4">
        <v>160.5</v>
      </c>
      <c r="J49" s="4" t="s">
        <v>153</v>
      </c>
      <c r="K49" s="1">
        <v>2.58</v>
      </c>
      <c r="L49" s="1">
        <v>10.01</v>
      </c>
      <c r="M49" s="1">
        <v>10.15</v>
      </c>
      <c r="N49" s="1">
        <f t="shared" si="16"/>
        <v>7.57</v>
      </c>
      <c r="O49" s="1">
        <f t="shared" si="17"/>
        <v>2.4399999999999995</v>
      </c>
      <c r="P49" s="1">
        <f t="shared" si="18"/>
        <v>0.32232496697490087</v>
      </c>
      <c r="Q49" s="1">
        <f t="shared" si="19"/>
        <v>108.76684280052841</v>
      </c>
      <c r="R49" s="1">
        <v>20.010000000000002</v>
      </c>
      <c r="S49" s="1">
        <f t="shared" si="20"/>
        <v>13.560277410832235</v>
      </c>
      <c r="T49" s="13">
        <v>7.6959999999999997</v>
      </c>
      <c r="U49" s="22">
        <v>27.97</v>
      </c>
      <c r="V49" s="12">
        <v>33.700000000000003</v>
      </c>
      <c r="W49" s="12">
        <v>0.23731792747075298</v>
      </c>
      <c r="X49" s="12">
        <v>3.9345079830538796E-2</v>
      </c>
      <c r="Y49" s="12">
        <v>19.489543914371502</v>
      </c>
      <c r="Z49" s="12">
        <v>4.4508213772296106</v>
      </c>
      <c r="AA49" s="12">
        <v>57.461885846551098</v>
      </c>
      <c r="AB49" s="12">
        <v>0.80650604954530003</v>
      </c>
      <c r="AC49" s="12">
        <v>77.234883940086704</v>
      </c>
      <c r="AD49" s="12">
        <v>19.205940041621801</v>
      </c>
      <c r="AE49" s="23">
        <v>12.1007145766477</v>
      </c>
      <c r="AF49" s="1"/>
      <c r="AG49" s="1"/>
      <c r="AH49" s="22">
        <f t="shared" si="21"/>
        <v>2.0626421681946545</v>
      </c>
      <c r="AI49" s="12">
        <f t="shared" si="22"/>
        <v>2.4851998951791159</v>
      </c>
      <c r="AJ49" s="12">
        <f t="shared" si="23"/>
        <v>1.7500964049686655E-2</v>
      </c>
      <c r="AK49" s="12">
        <f t="shared" si="24"/>
        <v>2.9014952009100577E-3</v>
      </c>
      <c r="AL49" s="12">
        <f t="shared" si="25"/>
        <v>1.4372525962339713</v>
      </c>
      <c r="AM49" s="12">
        <f t="shared" si="26"/>
        <v>0.32822495015287823</v>
      </c>
      <c r="AN49" s="12">
        <f t="shared" si="27"/>
        <v>4.2375155098707147</v>
      </c>
      <c r="AO49" s="12">
        <f t="shared" si="28"/>
        <v>5.9475630557605408E-2</v>
      </c>
      <c r="AP49" s="12">
        <f t="shared" si="29"/>
        <v>5.6956713789933131</v>
      </c>
      <c r="AQ49" s="12">
        <f t="shared" si="30"/>
        <v>1.4163382842212131</v>
      </c>
      <c r="AR49" s="23">
        <f t="shared" si="31"/>
        <v>0.89236482485095725</v>
      </c>
      <c r="AS49" s="1"/>
    </row>
    <row r="50" spans="1:45" ht="15.75" customHeight="1">
      <c r="A50" s="29" t="s">
        <v>117</v>
      </c>
      <c r="B50" s="29">
        <v>45</v>
      </c>
      <c r="C50" s="4" t="s">
        <v>118</v>
      </c>
      <c r="D50" s="4" t="s">
        <v>37</v>
      </c>
      <c r="E50" s="5">
        <v>45812</v>
      </c>
      <c r="F50" s="5" t="s">
        <v>91</v>
      </c>
      <c r="G50" s="5" t="s">
        <v>39</v>
      </c>
      <c r="H50" s="4">
        <v>267.14999999999998</v>
      </c>
      <c r="I50" s="4">
        <v>242.33</v>
      </c>
      <c r="J50" s="4" t="s">
        <v>43</v>
      </c>
      <c r="K50" s="1">
        <v>2.56</v>
      </c>
      <c r="L50" s="1">
        <v>10</v>
      </c>
      <c r="M50" s="1">
        <v>10.55</v>
      </c>
      <c r="N50" s="1">
        <f t="shared" si="16"/>
        <v>7.99</v>
      </c>
      <c r="O50" s="1">
        <f t="shared" si="17"/>
        <v>2.0099999999999998</v>
      </c>
      <c r="P50" s="1">
        <f t="shared" si="18"/>
        <v>0.25156445556946178</v>
      </c>
      <c r="Q50" s="1">
        <f t="shared" si="19"/>
        <v>181.36838548185233</v>
      </c>
      <c r="R50" s="1">
        <v>20.02</v>
      </c>
      <c r="S50" s="1">
        <f t="shared" si="20"/>
        <v>14.983679599499373</v>
      </c>
      <c r="T50" s="13">
        <v>7.1929999999999996</v>
      </c>
      <c r="U50" s="22">
        <v>17.36</v>
      </c>
      <c r="V50" s="12">
        <v>33.68</v>
      </c>
      <c r="W50" s="12">
        <v>0.21804370842950199</v>
      </c>
      <c r="X50" s="12">
        <v>3.5500433691795799E-2</v>
      </c>
      <c r="Y50" s="12">
        <v>13.010501128301399</v>
      </c>
      <c r="Z50" s="12">
        <v>4.95472525102746</v>
      </c>
      <c r="AA50" s="12">
        <v>44.402604156218899</v>
      </c>
      <c r="AB50" s="12">
        <v>0.7728594172855161</v>
      </c>
      <c r="AC50" s="12">
        <v>18.551483145015599</v>
      </c>
      <c r="AD50" s="12">
        <v>2.6774659669238798</v>
      </c>
      <c r="AE50" s="23">
        <v>2.6896626414951603</v>
      </c>
      <c r="AF50" s="1"/>
      <c r="AG50" s="1"/>
      <c r="AH50" s="22">
        <f t="shared" si="21"/>
        <v>1.1585939144467572</v>
      </c>
      <c r="AI50" s="12">
        <f t="shared" si="22"/>
        <v>2.2477789768759671</v>
      </c>
      <c r="AJ50" s="12">
        <f t="shared" si="23"/>
        <v>1.4552080280519823E-2</v>
      </c>
      <c r="AK50" s="12">
        <f t="shared" si="24"/>
        <v>2.3692734121852099E-3</v>
      </c>
      <c r="AL50" s="12">
        <f t="shared" si="25"/>
        <v>0.86831148796962387</v>
      </c>
      <c r="AM50" s="12">
        <f t="shared" si="26"/>
        <v>0.33067479974631897</v>
      </c>
      <c r="AN50" s="12">
        <f t="shared" si="27"/>
        <v>2.9633978664161007</v>
      </c>
      <c r="AO50" s="12">
        <f t="shared" si="28"/>
        <v>5.1580081658402416E-2</v>
      </c>
      <c r="AP50" s="12">
        <f t="shared" si="29"/>
        <v>1.2381126426138631</v>
      </c>
      <c r="AQ50" s="12">
        <f t="shared" si="30"/>
        <v>0.17869215296176902</v>
      </c>
      <c r="AR50" s="23">
        <f t="shared" si="31"/>
        <v>0.17950615025063843</v>
      </c>
      <c r="AS50" s="1"/>
    </row>
    <row r="51" spans="1:45" ht="15.75" customHeight="1">
      <c r="A51" s="29" t="s">
        <v>119</v>
      </c>
      <c r="B51" s="29">
        <v>46</v>
      </c>
      <c r="C51" s="4" t="s">
        <v>120</v>
      </c>
      <c r="D51" s="4" t="s">
        <v>37</v>
      </c>
      <c r="E51" s="5">
        <v>45810</v>
      </c>
      <c r="F51" s="5" t="s">
        <v>91</v>
      </c>
      <c r="G51" s="5" t="s">
        <v>39</v>
      </c>
      <c r="H51" s="4">
        <v>458.21</v>
      </c>
      <c r="I51" s="4">
        <v>351.96</v>
      </c>
      <c r="J51" s="4" t="s">
        <v>121</v>
      </c>
      <c r="K51" s="1">
        <v>2.34</v>
      </c>
      <c r="L51" s="1">
        <v>10</v>
      </c>
      <c r="M51" s="1">
        <v>11.76</v>
      </c>
      <c r="N51" s="1">
        <f t="shared" si="16"/>
        <v>9.42</v>
      </c>
      <c r="O51" s="1">
        <f t="shared" si="17"/>
        <v>0.58000000000000007</v>
      </c>
      <c r="P51" s="1">
        <f t="shared" si="18"/>
        <v>6.1571125265392788E-2</v>
      </c>
      <c r="Q51" s="1">
        <f t="shared" si="19"/>
        <v>330.28942675159232</v>
      </c>
      <c r="R51" s="1">
        <v>20</v>
      </c>
      <c r="S51" s="1">
        <f t="shared" si="20"/>
        <v>18.768577494692146</v>
      </c>
      <c r="T51" s="13">
        <v>6.8449999999999998</v>
      </c>
      <c r="U51" s="22">
        <v>10.54</v>
      </c>
      <c r="V51" s="12">
        <v>18.283999999999999</v>
      </c>
      <c r="W51" s="12">
        <v>0.157746827590792</v>
      </c>
      <c r="X51" s="12">
        <v>7.0091428929314206E-2</v>
      </c>
      <c r="Y51" s="12">
        <v>7.0762060408349399</v>
      </c>
      <c r="Z51" s="12">
        <v>2.6412337992415305</v>
      </c>
      <c r="AA51" s="12">
        <v>38.934118464107897</v>
      </c>
      <c r="AB51" s="12">
        <v>0.51374063446096896</v>
      </c>
      <c r="AC51" s="12">
        <v>20.008825166656599</v>
      </c>
      <c r="AD51" s="12">
        <v>0.87267413868364696</v>
      </c>
      <c r="AE51" s="23">
        <v>1.0972091019689099</v>
      </c>
      <c r="AF51" s="1"/>
      <c r="AG51" s="1"/>
      <c r="AH51" s="22">
        <f t="shared" si="21"/>
        <v>0.56157692307692297</v>
      </c>
      <c r="AI51" s="12">
        <f t="shared" si="22"/>
        <v>0.9741814479638008</v>
      </c>
      <c r="AJ51" s="12">
        <f t="shared" si="23"/>
        <v>8.4048366284234198E-3</v>
      </c>
      <c r="AK51" s="12">
        <f t="shared" si="24"/>
        <v>3.7345093920483018E-3</v>
      </c>
      <c r="AL51" s="12">
        <f t="shared" si="25"/>
        <v>0.37702410013950866</v>
      </c>
      <c r="AM51" s="12">
        <f t="shared" si="26"/>
        <v>0.14072637097768786</v>
      </c>
      <c r="AN51" s="12">
        <f t="shared" si="27"/>
        <v>2.074430972465477</v>
      </c>
      <c r="AO51" s="12">
        <f t="shared" si="28"/>
        <v>2.7372379958271083E-2</v>
      </c>
      <c r="AP51" s="12">
        <f t="shared" si="29"/>
        <v>1.0660810693999161</v>
      </c>
      <c r="AQ51" s="12">
        <f t="shared" si="30"/>
        <v>4.649655195927576E-2</v>
      </c>
      <c r="AR51" s="23">
        <f t="shared" si="31"/>
        <v>5.8459896722551641E-2</v>
      </c>
      <c r="AS51" s="1"/>
    </row>
    <row r="52" spans="1:45" ht="15.75" customHeight="1">
      <c r="A52" s="29" t="s">
        <v>122</v>
      </c>
      <c r="B52" s="29">
        <v>47</v>
      </c>
      <c r="C52" s="4" t="s">
        <v>123</v>
      </c>
      <c r="D52" s="4" t="s">
        <v>37</v>
      </c>
      <c r="F52" s="5" t="s">
        <v>91</v>
      </c>
      <c r="G52" s="5" t="s">
        <v>39</v>
      </c>
      <c r="H52" s="4">
        <v>209.38</v>
      </c>
      <c r="I52" s="4">
        <v>183.78</v>
      </c>
      <c r="J52" s="4" t="s">
        <v>124</v>
      </c>
      <c r="K52" s="1">
        <v>2.56</v>
      </c>
      <c r="L52" s="1">
        <v>10.01</v>
      </c>
      <c r="M52" s="1">
        <v>11.06</v>
      </c>
      <c r="N52" s="1">
        <f t="shared" si="16"/>
        <v>8.5</v>
      </c>
      <c r="O52" s="1">
        <f t="shared" si="17"/>
        <v>1.5099999999999998</v>
      </c>
      <c r="P52" s="1">
        <f t="shared" si="18"/>
        <v>0.17764705882352938</v>
      </c>
      <c r="Q52" s="1">
        <f t="shared" si="19"/>
        <v>151.13202352941178</v>
      </c>
      <c r="R52" s="1">
        <v>20.059999999999999</v>
      </c>
      <c r="S52" s="1">
        <f t="shared" si="20"/>
        <v>16.496400000000001</v>
      </c>
      <c r="T52" s="13">
        <v>7.3879999999999999</v>
      </c>
      <c r="U52" s="22">
        <v>21.35</v>
      </c>
      <c r="V52" s="12">
        <v>18.72</v>
      </c>
      <c r="W52" s="12">
        <v>0.20815559603848202</v>
      </c>
      <c r="X52" s="12">
        <v>2.3734163192632402E-2</v>
      </c>
      <c r="Y52" s="12">
        <v>10.004107026665501</v>
      </c>
      <c r="Z52" s="12">
        <v>3.4090231261802302</v>
      </c>
      <c r="AA52" s="12">
        <v>62.633219375099898</v>
      </c>
      <c r="AB52" s="12">
        <v>0.49764157565717898</v>
      </c>
      <c r="AC52" s="12">
        <v>36.539163548697502</v>
      </c>
      <c r="AD52" s="12">
        <v>0.39097746525740801</v>
      </c>
      <c r="AE52" s="23">
        <v>2.5648587057735401</v>
      </c>
      <c r="AF52" s="1"/>
      <c r="AG52" s="1"/>
      <c r="AH52" s="22">
        <f t="shared" si="21"/>
        <v>1.2942217695982154</v>
      </c>
      <c r="AI52" s="12">
        <f t="shared" si="22"/>
        <v>1.1347930457554374</v>
      </c>
      <c r="AJ52" s="12">
        <f t="shared" si="23"/>
        <v>1.2618243740360443E-2</v>
      </c>
      <c r="AK52" s="12">
        <f t="shared" si="24"/>
        <v>1.4387480415504232E-3</v>
      </c>
      <c r="AL52" s="12">
        <f t="shared" si="25"/>
        <v>0.60644183134899132</v>
      </c>
      <c r="AM52" s="12">
        <f t="shared" si="26"/>
        <v>0.20665255002183688</v>
      </c>
      <c r="AN52" s="12">
        <f t="shared" si="27"/>
        <v>3.7967810779988298</v>
      </c>
      <c r="AO52" s="12">
        <f t="shared" si="28"/>
        <v>3.0166677314879545E-2</v>
      </c>
      <c r="AP52" s="12">
        <f t="shared" si="29"/>
        <v>2.2149780284606035</v>
      </c>
      <c r="AQ52" s="12">
        <f t="shared" si="30"/>
        <v>2.3700775033183481E-2</v>
      </c>
      <c r="AR52" s="23">
        <f t="shared" si="31"/>
        <v>0.15547990505646928</v>
      </c>
      <c r="AS52" s="1"/>
    </row>
    <row r="53" spans="1:45" ht="15.75" customHeight="1">
      <c r="A53" s="29" t="s">
        <v>125</v>
      </c>
      <c r="B53" s="29">
        <v>48</v>
      </c>
      <c r="C53" s="4" t="s">
        <v>126</v>
      </c>
      <c r="D53" s="4" t="s">
        <v>37</v>
      </c>
      <c r="F53" s="5" t="s">
        <v>91</v>
      </c>
      <c r="G53" s="5" t="s">
        <v>39</v>
      </c>
      <c r="H53" s="4">
        <v>225.17</v>
      </c>
      <c r="I53" s="4">
        <v>154.28</v>
      </c>
      <c r="J53" s="4" t="s">
        <v>127</v>
      </c>
      <c r="K53" s="1">
        <v>2.64</v>
      </c>
      <c r="L53" s="1">
        <v>10</v>
      </c>
      <c r="M53" s="1">
        <v>10.99</v>
      </c>
      <c r="N53" s="1">
        <f t="shared" si="16"/>
        <v>8.35</v>
      </c>
      <c r="O53" s="1">
        <f t="shared" si="17"/>
        <v>1.6500000000000004</v>
      </c>
      <c r="P53" s="1">
        <f t="shared" si="18"/>
        <v>0.19760479041916174</v>
      </c>
      <c r="Q53" s="1">
        <f t="shared" si="19"/>
        <v>123.79353293413172</v>
      </c>
      <c r="R53" s="1">
        <v>20.07</v>
      </c>
      <c r="S53" s="1">
        <f t="shared" si="20"/>
        <v>16.104071856287423</v>
      </c>
      <c r="T53" s="13">
        <v>7.2830000000000004</v>
      </c>
      <c r="U53" s="22">
        <v>15.3</v>
      </c>
      <c r="V53" s="12">
        <v>24.7</v>
      </c>
      <c r="W53" s="12">
        <v>0.240717724261334</v>
      </c>
      <c r="X53" s="12">
        <v>2.4507171721993501E-2</v>
      </c>
      <c r="Y53" s="12">
        <v>9.8012891881536905</v>
      </c>
      <c r="Z53" s="12">
        <v>5.6739783316806003</v>
      </c>
      <c r="AA53" s="12">
        <v>51.869353862081496</v>
      </c>
      <c r="AB53" s="12">
        <v>0.50569338212363701</v>
      </c>
      <c r="AC53" s="12">
        <v>56.7705362427279</v>
      </c>
      <c r="AD53" s="12">
        <v>1.1174788658886901</v>
      </c>
      <c r="AE53" s="23">
        <v>3.5689582368736699</v>
      </c>
      <c r="AF53" s="1"/>
      <c r="AG53" s="1"/>
      <c r="AH53" s="22">
        <f t="shared" si="21"/>
        <v>0.95007027642058783</v>
      </c>
      <c r="AI53" s="12">
        <f t="shared" si="22"/>
        <v>1.5337735835025175</v>
      </c>
      <c r="AJ53" s="12">
        <f t="shared" si="23"/>
        <v>1.4947631034529439E-2</v>
      </c>
      <c r="AK53" s="12">
        <f t="shared" si="24"/>
        <v>1.5217997001438679E-3</v>
      </c>
      <c r="AL53" s="12">
        <f t="shared" si="25"/>
        <v>0.60862179923315651</v>
      </c>
      <c r="AM53" s="12">
        <f t="shared" si="26"/>
        <v>0.35233190601204012</v>
      </c>
      <c r="AN53" s="12">
        <f t="shared" si="27"/>
        <v>3.2208844027127483</v>
      </c>
      <c r="AO53" s="12">
        <f t="shared" si="28"/>
        <v>3.1401585054788614E-2</v>
      </c>
      <c r="AP53" s="12">
        <f t="shared" si="29"/>
        <v>3.5252286967760456</v>
      </c>
      <c r="AQ53" s="12">
        <f t="shared" si="30"/>
        <v>6.939107549078645E-2</v>
      </c>
      <c r="AR53" s="23">
        <f t="shared" si="31"/>
        <v>0.22161837507451643</v>
      </c>
      <c r="AS53" s="1"/>
    </row>
    <row r="54" spans="1:45" ht="15.75" customHeight="1">
      <c r="A54" s="29" t="s">
        <v>128</v>
      </c>
      <c r="B54" s="29">
        <v>49</v>
      </c>
      <c r="C54" s="4" t="s">
        <v>129</v>
      </c>
      <c r="D54" s="4" t="s">
        <v>37</v>
      </c>
      <c r="F54" s="5" t="s">
        <v>91</v>
      </c>
      <c r="G54" s="5" t="s">
        <v>39</v>
      </c>
      <c r="H54" s="4">
        <v>164.04</v>
      </c>
      <c r="I54" s="4">
        <v>132.88</v>
      </c>
      <c r="J54" s="4" t="s">
        <v>130</v>
      </c>
      <c r="K54" s="1">
        <v>2.61</v>
      </c>
      <c r="L54" s="1">
        <v>10</v>
      </c>
      <c r="M54" s="1">
        <v>10.95</v>
      </c>
      <c r="N54" s="1">
        <f t="shared" si="16"/>
        <v>8.34</v>
      </c>
      <c r="O54" s="1">
        <f t="shared" si="17"/>
        <v>1.6600000000000001</v>
      </c>
      <c r="P54" s="1">
        <f t="shared" si="18"/>
        <v>0.19904076738609114</v>
      </c>
      <c r="Q54" s="1">
        <f t="shared" si="19"/>
        <v>106.4314628297362</v>
      </c>
      <c r="R54" s="1">
        <v>20.059999999999999</v>
      </c>
      <c r="S54" s="1">
        <f t="shared" si="20"/>
        <v>16.067242206235012</v>
      </c>
      <c r="T54" s="13">
        <v>7.444</v>
      </c>
      <c r="U54" s="22">
        <v>20.100000000000001</v>
      </c>
      <c r="V54" s="12">
        <v>35.270000000000003</v>
      </c>
      <c r="W54" s="12">
        <v>0.195465393984739</v>
      </c>
      <c r="X54" s="12">
        <v>7.8901450838843007E-2</v>
      </c>
      <c r="Y54" s="12">
        <v>11.516026873885801</v>
      </c>
      <c r="Z54" s="12">
        <v>4.9435044614189696</v>
      </c>
      <c r="AA54" s="12">
        <v>65.711700416594297</v>
      </c>
      <c r="AB54" s="12">
        <v>0.84167903031392</v>
      </c>
      <c r="AC54" s="12">
        <v>40.480473173538002</v>
      </c>
      <c r="AD54" s="12">
        <v>1.2922022779098499</v>
      </c>
      <c r="AE54" s="23">
        <v>3.4933936170941</v>
      </c>
      <c r="AF54" s="1"/>
      <c r="AG54" s="1"/>
      <c r="AH54" s="22">
        <f t="shared" si="21"/>
        <v>1.2509925313878725</v>
      </c>
      <c r="AI54" s="12">
        <f t="shared" si="22"/>
        <v>2.1951495811965303</v>
      </c>
      <c r="AJ54" s="12">
        <f t="shared" si="23"/>
        <v>1.216546010048241E-2</v>
      </c>
      <c r="AK54" s="12">
        <f t="shared" si="24"/>
        <v>4.9107027718935312E-3</v>
      </c>
      <c r="AL54" s="12">
        <f t="shared" si="25"/>
        <v>0.71673948310911262</v>
      </c>
      <c r="AM54" s="12">
        <f t="shared" si="26"/>
        <v>0.30767597811531133</v>
      </c>
      <c r="AN54" s="12">
        <f t="shared" si="27"/>
        <v>4.0897933555202393</v>
      </c>
      <c r="AO54" s="12">
        <f t="shared" si="28"/>
        <v>5.23847851118657E-2</v>
      </c>
      <c r="AP54" s="12">
        <f t="shared" si="29"/>
        <v>2.5194412739872218</v>
      </c>
      <c r="AQ54" s="12">
        <f t="shared" si="30"/>
        <v>8.0424646701871549E-2</v>
      </c>
      <c r="AR54" s="23">
        <f t="shared" si="31"/>
        <v>0.21742334946183003</v>
      </c>
      <c r="AS54" s="1"/>
    </row>
    <row r="55" spans="1:45" ht="15.75" customHeight="1">
      <c r="A55" s="29" t="s">
        <v>131</v>
      </c>
      <c r="B55" s="29">
        <v>50</v>
      </c>
      <c r="C55" s="4" t="s">
        <v>132</v>
      </c>
      <c r="D55" s="4" t="s">
        <v>37</v>
      </c>
      <c r="E55" s="5">
        <v>45810</v>
      </c>
      <c r="F55" s="5" t="s">
        <v>91</v>
      </c>
      <c r="G55" s="5" t="s">
        <v>39</v>
      </c>
      <c r="H55" s="4">
        <v>301.83</v>
      </c>
      <c r="I55" s="4">
        <v>229.84</v>
      </c>
      <c r="J55" s="4" t="s">
        <v>133</v>
      </c>
      <c r="K55" s="1">
        <v>2.61</v>
      </c>
      <c r="L55" s="1">
        <v>10.039999999999999</v>
      </c>
      <c r="M55" s="1">
        <v>11.74</v>
      </c>
      <c r="N55" s="1">
        <f t="shared" si="16"/>
        <v>9.1300000000000008</v>
      </c>
      <c r="O55" s="1">
        <f t="shared" si="17"/>
        <v>0.90999999999999837</v>
      </c>
      <c r="P55" s="1">
        <f t="shared" si="18"/>
        <v>9.9671412924424788E-2</v>
      </c>
      <c r="Q55" s="1">
        <f t="shared" si="19"/>
        <v>206.93152245345021</v>
      </c>
      <c r="R55" s="1">
        <v>19.989999999999998</v>
      </c>
      <c r="S55" s="1">
        <f t="shared" si="20"/>
        <v>17.997568455640746</v>
      </c>
      <c r="T55" s="13">
        <v>7.3479999999999999</v>
      </c>
      <c r="U55" s="22">
        <v>20.58</v>
      </c>
      <c r="V55" s="12">
        <v>22.46</v>
      </c>
      <c r="W55" s="12">
        <v>0.215228665498024</v>
      </c>
      <c r="X55" s="12">
        <v>3.4250842102735199E-2</v>
      </c>
      <c r="Y55" s="12">
        <v>14.8063496875389</v>
      </c>
      <c r="Z55" s="12">
        <v>2.8469709222495698</v>
      </c>
      <c r="AA55" s="12">
        <v>49.133065973708099</v>
      </c>
      <c r="AB55" s="12">
        <v>0.913989070533619</v>
      </c>
      <c r="AC55" s="12">
        <v>21.606112682528298</v>
      </c>
      <c r="AD55" s="12">
        <v>1.1037693847557799</v>
      </c>
      <c r="AE55" s="23">
        <v>2.6604979353659504</v>
      </c>
      <c r="AF55" s="1"/>
      <c r="AG55" s="1"/>
      <c r="AH55" s="22">
        <f t="shared" si="21"/>
        <v>1.1434878022953081</v>
      </c>
      <c r="AI55" s="12">
        <f t="shared" si="22"/>
        <v>1.2479463576070273</v>
      </c>
      <c r="AJ55" s="12">
        <f t="shared" si="23"/>
        <v>1.1958763542336612E-2</v>
      </c>
      <c r="AK55" s="12">
        <f t="shared" si="24"/>
        <v>1.9030816405646396E-3</v>
      </c>
      <c r="AL55" s="12">
        <f t="shared" si="25"/>
        <v>0.82268611585129636</v>
      </c>
      <c r="AM55" s="12">
        <f t="shared" si="26"/>
        <v>0.15818641997482058</v>
      </c>
      <c r="AN55" s="12">
        <f t="shared" si="27"/>
        <v>2.7299835583238998</v>
      </c>
      <c r="AO55" s="12">
        <f t="shared" si="28"/>
        <v>5.078403078651212E-2</v>
      </c>
      <c r="AP55" s="12">
        <f t="shared" si="29"/>
        <v>1.2005017642122968</v>
      </c>
      <c r="AQ55" s="12">
        <f t="shared" si="30"/>
        <v>6.1328806026007349E-2</v>
      </c>
      <c r="AR55" s="23">
        <f t="shared" si="31"/>
        <v>0.14782540996709501</v>
      </c>
      <c r="AS55" s="1"/>
    </row>
    <row r="56" spans="1:45" ht="15.75" customHeight="1">
      <c r="A56" s="29" t="s">
        <v>134</v>
      </c>
      <c r="B56" s="29">
        <v>51</v>
      </c>
      <c r="C56" s="4" t="s">
        <v>135</v>
      </c>
      <c r="D56" s="4" t="s">
        <v>37</v>
      </c>
      <c r="E56" s="5">
        <v>45810</v>
      </c>
      <c r="F56" s="5" t="s">
        <v>91</v>
      </c>
      <c r="G56" s="5" t="s">
        <v>39</v>
      </c>
      <c r="H56" s="4">
        <v>363.54</v>
      </c>
      <c r="I56" s="4">
        <v>316.8</v>
      </c>
      <c r="J56" s="4" t="s">
        <v>76</v>
      </c>
      <c r="K56" s="1">
        <v>2.59</v>
      </c>
      <c r="L56" s="1">
        <v>10.01</v>
      </c>
      <c r="M56" s="1">
        <v>11.58</v>
      </c>
      <c r="N56" s="1">
        <f t="shared" si="16"/>
        <v>8.99</v>
      </c>
      <c r="O56" s="1">
        <f t="shared" si="17"/>
        <v>1.0199999999999996</v>
      </c>
      <c r="P56" s="1">
        <f t="shared" si="18"/>
        <v>0.11345939933259172</v>
      </c>
      <c r="Q56" s="1">
        <f t="shared" si="19"/>
        <v>280.85606229143497</v>
      </c>
      <c r="R56" s="1">
        <v>20.04</v>
      </c>
      <c r="S56" s="1">
        <f t="shared" si="20"/>
        <v>17.766273637374862</v>
      </c>
      <c r="T56" s="13">
        <v>7.5709999999999997</v>
      </c>
      <c r="U56" s="22">
        <v>18.940000000000001</v>
      </c>
      <c r="V56" s="12">
        <v>34.75</v>
      </c>
      <c r="W56" s="12">
        <v>0.229635934883681</v>
      </c>
      <c r="X56" s="12">
        <v>2.9631377791154198E-2</v>
      </c>
      <c r="Y56" s="12">
        <v>17.9239860112176</v>
      </c>
      <c r="Z56" s="12">
        <v>4.8328391202024701</v>
      </c>
      <c r="AA56" s="12">
        <v>51.162412391300798</v>
      </c>
      <c r="AB56" s="12">
        <v>0.89741783174880896</v>
      </c>
      <c r="AC56" s="12">
        <v>44.9616742157678</v>
      </c>
      <c r="AD56" s="12">
        <v>1.8891326668519102</v>
      </c>
      <c r="AE56" s="23">
        <v>3.02489325117382</v>
      </c>
      <c r="AF56" s="1"/>
      <c r="AG56" s="1"/>
      <c r="AH56" s="22">
        <f t="shared" si="21"/>
        <v>1.0660648589896744</v>
      </c>
      <c r="AI56" s="12">
        <f t="shared" si="22"/>
        <v>1.9559532127714456</v>
      </c>
      <c r="AJ56" s="12">
        <f t="shared" si="23"/>
        <v>1.2925385456216125E-2</v>
      </c>
      <c r="AK56" s="12">
        <f t="shared" si="24"/>
        <v>1.667844275955468E-3</v>
      </c>
      <c r="AL56" s="12">
        <f t="shared" si="25"/>
        <v>1.0088770654478134</v>
      </c>
      <c r="AM56" s="12">
        <f t="shared" si="26"/>
        <v>0.27202322889115249</v>
      </c>
      <c r="AN56" s="12">
        <f t="shared" si="27"/>
        <v>2.8797492054648179</v>
      </c>
      <c r="AO56" s="12">
        <f t="shared" si="28"/>
        <v>5.0512440034747266E-2</v>
      </c>
      <c r="AP56" s="12">
        <f t="shared" si="29"/>
        <v>2.5307318311917726</v>
      </c>
      <c r="AQ56" s="12">
        <f t="shared" si="30"/>
        <v>0.10633252112461822</v>
      </c>
      <c r="AR56" s="23">
        <f t="shared" si="31"/>
        <v>0.17026042224242005</v>
      </c>
      <c r="AS56" s="1"/>
    </row>
    <row r="57" spans="1:45" ht="15.75" customHeight="1">
      <c r="A57" s="29" t="s">
        <v>136</v>
      </c>
      <c r="B57" s="29">
        <v>52</v>
      </c>
      <c r="C57" s="4" t="s">
        <v>137</v>
      </c>
      <c r="D57" s="4" t="s">
        <v>37</v>
      </c>
      <c r="E57" s="5">
        <v>45810</v>
      </c>
      <c r="F57" s="5" t="s">
        <v>91</v>
      </c>
      <c r="G57" s="5" t="s">
        <v>39</v>
      </c>
      <c r="H57" s="4">
        <v>289.29000000000002</v>
      </c>
      <c r="I57" s="4">
        <v>241.87</v>
      </c>
      <c r="J57" s="4" t="s">
        <v>138</v>
      </c>
      <c r="K57" s="1">
        <v>2.59</v>
      </c>
      <c r="L57" s="1">
        <v>10.02</v>
      </c>
      <c r="M57" s="1">
        <v>12.28</v>
      </c>
      <c r="N57" s="1">
        <f t="shared" si="16"/>
        <v>9.69</v>
      </c>
      <c r="O57" s="1">
        <f t="shared" si="17"/>
        <v>0.33000000000000007</v>
      </c>
      <c r="P57" s="1">
        <f t="shared" si="18"/>
        <v>3.4055727554179578E-2</v>
      </c>
      <c r="Q57" s="1">
        <f t="shared" si="19"/>
        <v>233.63294117647058</v>
      </c>
      <c r="R57" s="1">
        <v>20.010000000000002</v>
      </c>
      <c r="S57" s="1">
        <f t="shared" si="20"/>
        <v>19.328544891640867</v>
      </c>
      <c r="T57" s="13">
        <v>6.9749999999999996</v>
      </c>
      <c r="U57" s="22">
        <v>17.989999999999998</v>
      </c>
      <c r="V57" s="12">
        <v>17.273</v>
      </c>
      <c r="W57" s="12">
        <v>0.24932896966311999</v>
      </c>
      <c r="X57" s="12">
        <v>3.0780256505818698E-2</v>
      </c>
      <c r="Y57" s="12">
        <v>16.886570183640398</v>
      </c>
      <c r="Z57" s="12">
        <v>2.0519146282650298</v>
      </c>
      <c r="AA57" s="12">
        <v>44.351826003944801</v>
      </c>
      <c r="AB57" s="12">
        <v>0.88022467170935403</v>
      </c>
      <c r="AC57" s="12">
        <v>49.752948828187797</v>
      </c>
      <c r="AD57" s="12">
        <v>1.98864251924604</v>
      </c>
      <c r="AE57" s="23">
        <v>1.9658279968377501</v>
      </c>
      <c r="AF57" s="1"/>
      <c r="AG57" s="1"/>
      <c r="AH57" s="22">
        <f t="shared" si="21"/>
        <v>0.93074776714206986</v>
      </c>
      <c r="AI57" s="12">
        <f t="shared" si="22"/>
        <v>0.89365237253168284</v>
      </c>
      <c r="AJ57" s="12">
        <f t="shared" si="23"/>
        <v>1.2899520944846128E-2</v>
      </c>
      <c r="AK57" s="12">
        <f t="shared" si="24"/>
        <v>1.5924766545220082E-3</v>
      </c>
      <c r="AL57" s="12">
        <f t="shared" si="25"/>
        <v>0.8736596716570959</v>
      </c>
      <c r="AM57" s="12">
        <f t="shared" si="26"/>
        <v>0.10615980870616049</v>
      </c>
      <c r="AN57" s="12">
        <f t="shared" si="27"/>
        <v>2.2946282947106846</v>
      </c>
      <c r="AO57" s="12">
        <f t="shared" si="28"/>
        <v>4.5540141621836734E-2</v>
      </c>
      <c r="AP57" s="12">
        <f t="shared" si="29"/>
        <v>2.5740659272134221</v>
      </c>
      <c r="AQ57" s="12">
        <f t="shared" si="30"/>
        <v>0.10288630263657769</v>
      </c>
      <c r="AR57" s="23">
        <f t="shared" si="31"/>
        <v>0.10170594878499745</v>
      </c>
      <c r="AS57" s="1"/>
    </row>
    <row r="58" spans="1:45" ht="15.75" customHeight="1">
      <c r="A58" s="29" t="s">
        <v>139</v>
      </c>
      <c r="B58" s="29">
        <v>53</v>
      </c>
      <c r="C58" s="4" t="s">
        <v>140</v>
      </c>
      <c r="D58" s="4" t="s">
        <v>37</v>
      </c>
      <c r="E58" s="5">
        <v>45810</v>
      </c>
      <c r="F58" s="5" t="s">
        <v>91</v>
      </c>
      <c r="G58" s="5" t="s">
        <v>39</v>
      </c>
      <c r="H58" s="4">
        <v>363.74</v>
      </c>
      <c r="I58" s="4">
        <v>348.61</v>
      </c>
      <c r="J58" s="4" t="s">
        <v>73</v>
      </c>
      <c r="K58" s="1">
        <v>2.59</v>
      </c>
      <c r="L58" s="1">
        <v>10.01</v>
      </c>
      <c r="M58" s="1">
        <v>11.69</v>
      </c>
      <c r="N58" s="1">
        <f t="shared" si="16"/>
        <v>9.1</v>
      </c>
      <c r="O58" s="1">
        <f t="shared" si="17"/>
        <v>0.91000000000000014</v>
      </c>
      <c r="P58" s="1">
        <f t="shared" si="18"/>
        <v>0.10000000000000002</v>
      </c>
      <c r="Q58" s="1">
        <f t="shared" si="19"/>
        <v>313.74900000000002</v>
      </c>
      <c r="R58" s="1">
        <v>20.04</v>
      </c>
      <c r="S58" s="1">
        <f t="shared" si="20"/>
        <v>18.036000000000001</v>
      </c>
      <c r="T58" s="13">
        <v>7.51</v>
      </c>
      <c r="U58" s="22">
        <v>18.239999999999998</v>
      </c>
      <c r="V58" s="12">
        <v>24.45</v>
      </c>
      <c r="W58" s="12">
        <v>0.27489577520659497</v>
      </c>
      <c r="X58" s="12">
        <v>4.2808413117626593E-2</v>
      </c>
      <c r="Y58" s="12">
        <v>13.231242179352501</v>
      </c>
      <c r="Z58" s="12">
        <v>4.4002117216896899</v>
      </c>
      <c r="AA58" s="12">
        <v>43.350468069227297</v>
      </c>
      <c r="AB58" s="12">
        <v>0.96754600686687897</v>
      </c>
      <c r="AC58" s="12">
        <v>54.430176026094095</v>
      </c>
      <c r="AD58" s="12">
        <v>3.0058397738363301</v>
      </c>
      <c r="AE58" s="23">
        <v>1.7160793716835601</v>
      </c>
      <c r="AF58" s="1"/>
      <c r="AG58" s="1"/>
      <c r="AH58" s="22">
        <f t="shared" si="21"/>
        <v>1.0113107119095142</v>
      </c>
      <c r="AI58" s="12">
        <f t="shared" si="22"/>
        <v>1.3556220891550232</v>
      </c>
      <c r="AJ58" s="12">
        <f t="shared" si="23"/>
        <v>1.5241504502472553E-2</v>
      </c>
      <c r="AK58" s="12">
        <f t="shared" si="24"/>
        <v>2.3734981768477816E-3</v>
      </c>
      <c r="AL58" s="12">
        <f t="shared" si="25"/>
        <v>0.7336018063513251</v>
      </c>
      <c r="AM58" s="12">
        <f t="shared" si="26"/>
        <v>0.24396827022009812</v>
      </c>
      <c r="AN58" s="12">
        <f t="shared" si="27"/>
        <v>2.4035522327138663</v>
      </c>
      <c r="AO58" s="12">
        <f t="shared" si="28"/>
        <v>5.3645265406236355E-2</v>
      </c>
      <c r="AP58" s="12">
        <f t="shared" si="29"/>
        <v>3.0178629422318748</v>
      </c>
      <c r="AQ58" s="12">
        <f t="shared" si="30"/>
        <v>0.16665778298050177</v>
      </c>
      <c r="AR58" s="23">
        <f t="shared" si="31"/>
        <v>9.5147447975358165E-2</v>
      </c>
      <c r="AS58" s="1"/>
    </row>
    <row r="59" spans="1:45" ht="15.75" customHeight="1">
      <c r="A59" s="29" t="s">
        <v>213</v>
      </c>
      <c r="B59" s="29">
        <v>54</v>
      </c>
      <c r="C59" s="4" t="s">
        <v>214</v>
      </c>
      <c r="D59" s="4" t="s">
        <v>143</v>
      </c>
      <c r="E59" s="5">
        <v>45831</v>
      </c>
      <c r="F59" s="5" t="s">
        <v>38</v>
      </c>
      <c r="G59" s="5" t="s">
        <v>165</v>
      </c>
      <c r="H59" s="4">
        <v>263.86</v>
      </c>
      <c r="I59" s="4">
        <v>206.89</v>
      </c>
      <c r="J59" s="4" t="s">
        <v>104</v>
      </c>
      <c r="K59" s="1">
        <v>2.58</v>
      </c>
      <c r="L59" s="1">
        <v>10.02</v>
      </c>
      <c r="M59" s="1">
        <v>10.14</v>
      </c>
      <c r="N59" s="1">
        <f t="shared" si="16"/>
        <v>7.5600000000000005</v>
      </c>
      <c r="O59" s="1">
        <f t="shared" si="17"/>
        <v>2.4599999999999991</v>
      </c>
      <c r="P59" s="1">
        <f t="shared" si="18"/>
        <v>0.32539682539682524</v>
      </c>
      <c r="Q59" s="1">
        <f t="shared" si="19"/>
        <v>139.56865079365082</v>
      </c>
      <c r="R59" s="1">
        <v>20</v>
      </c>
      <c r="S59" s="1">
        <f t="shared" si="20"/>
        <v>13.492063492063496</v>
      </c>
      <c r="T59" s="13">
        <v>6.4969999999999999</v>
      </c>
      <c r="U59" s="22">
        <v>60.36</v>
      </c>
      <c r="V59" s="12">
        <v>15.04</v>
      </c>
      <c r="W59" s="12">
        <v>0.73624195146931593</v>
      </c>
      <c r="X59" s="12">
        <v>4.6749974522444601E-2</v>
      </c>
      <c r="Y59" s="12">
        <v>11.6975188586092</v>
      </c>
      <c r="Z59" s="12">
        <v>4.04928520363225</v>
      </c>
      <c r="AA59" s="12">
        <v>34.1657722940231</v>
      </c>
      <c r="AB59" s="12">
        <v>1.1540275555041</v>
      </c>
      <c r="AC59" s="12">
        <v>29.6035076598532</v>
      </c>
      <c r="AD59" s="12">
        <v>10.824153864344</v>
      </c>
      <c r="AE59" s="23">
        <v>2.2258207319671701</v>
      </c>
      <c r="AF59" s="1"/>
      <c r="AG59" s="1"/>
      <c r="AH59" s="22">
        <f t="shared" si="21"/>
        <v>4.473741176470587</v>
      </c>
      <c r="AI59" s="12">
        <f t="shared" si="22"/>
        <v>1.1147294117647055</v>
      </c>
      <c r="AJ59" s="12">
        <f t="shared" si="23"/>
        <v>5.4568521108902222E-2</v>
      </c>
      <c r="AK59" s="12">
        <f t="shared" si="24"/>
        <v>3.4649981116635399E-3</v>
      </c>
      <c r="AL59" s="12">
        <f t="shared" si="25"/>
        <v>0.86699257422632869</v>
      </c>
      <c r="AM59" s="12">
        <f t="shared" si="26"/>
        <v>0.3001234915633314</v>
      </c>
      <c r="AN59" s="12">
        <f t="shared" si="27"/>
        <v>2.532286652380535</v>
      </c>
      <c r="AO59" s="12">
        <f t="shared" si="28"/>
        <v>8.5533807055009736E-2</v>
      </c>
      <c r="AP59" s="12">
        <f t="shared" si="29"/>
        <v>2.194142332436178</v>
      </c>
      <c r="AQ59" s="12">
        <f t="shared" si="30"/>
        <v>0.80226081582784914</v>
      </c>
      <c r="AR59" s="23">
        <f t="shared" si="31"/>
        <v>0.16497259542815493</v>
      </c>
      <c r="AS59" s="1"/>
    </row>
    <row r="60" spans="1:45" ht="15.75" customHeight="1">
      <c r="A60" s="29" t="s">
        <v>215</v>
      </c>
      <c r="B60" s="29">
        <v>55</v>
      </c>
      <c r="C60" s="4" t="s">
        <v>216</v>
      </c>
      <c r="D60" s="4" t="s">
        <v>143</v>
      </c>
      <c r="E60" s="5">
        <v>45826</v>
      </c>
      <c r="F60" s="5" t="s">
        <v>38</v>
      </c>
      <c r="G60" s="5" t="s">
        <v>165</v>
      </c>
      <c r="H60" s="4">
        <v>397.48</v>
      </c>
      <c r="I60" s="4">
        <v>303.20999999999998</v>
      </c>
      <c r="J60" s="4" t="s">
        <v>217</v>
      </c>
      <c r="K60" s="1">
        <v>2.6</v>
      </c>
      <c r="L60" s="1">
        <v>8.93</v>
      </c>
      <c r="M60" s="1">
        <v>9.31</v>
      </c>
      <c r="N60" s="1">
        <f t="shared" si="16"/>
        <v>6.7100000000000009</v>
      </c>
      <c r="O60" s="1">
        <f t="shared" si="17"/>
        <v>2.2199999999999989</v>
      </c>
      <c r="P60" s="1">
        <f t="shared" si="18"/>
        <v>0.3308494783904618</v>
      </c>
      <c r="Q60" s="1">
        <f t="shared" si="19"/>
        <v>202.89312965722806</v>
      </c>
      <c r="R60" s="1">
        <v>19.989999999999998</v>
      </c>
      <c r="S60" s="1">
        <f t="shared" si="20"/>
        <v>13.376318926974667</v>
      </c>
      <c r="T60" s="13">
        <v>6.399</v>
      </c>
      <c r="U60" s="22">
        <v>54.33</v>
      </c>
      <c r="V60" s="12">
        <v>15.2</v>
      </c>
      <c r="W60" s="12">
        <v>0.73533013158234395</v>
      </c>
      <c r="X60" s="12">
        <v>3.5214484721257398E-2</v>
      </c>
      <c r="Y60" s="12">
        <v>11.7768307984818</v>
      </c>
      <c r="Z60" s="12">
        <v>3.5069849875174404</v>
      </c>
      <c r="AA60" s="12">
        <v>36.677897875503497</v>
      </c>
      <c r="AB60" s="12">
        <v>0.96070282057466705</v>
      </c>
      <c r="AC60" s="12">
        <v>32.219008079392296</v>
      </c>
      <c r="AD60" s="12">
        <v>12.648933173522401</v>
      </c>
      <c r="AE60" s="23">
        <v>1.94949058497405</v>
      </c>
      <c r="AF60" s="1"/>
      <c r="AG60" s="1"/>
      <c r="AH60" s="22">
        <f t="shared" si="21"/>
        <v>4.0616555493782514</v>
      </c>
      <c r="AI60" s="12">
        <f t="shared" si="22"/>
        <v>1.1363365424360283</v>
      </c>
      <c r="AJ60" s="12">
        <f t="shared" si="23"/>
        <v>5.4972532846796748E-2</v>
      </c>
      <c r="AK60" s="12">
        <f t="shared" si="24"/>
        <v>2.632599066567104E-3</v>
      </c>
      <c r="AL60" s="12">
        <f t="shared" si="25"/>
        <v>0.88042389410532507</v>
      </c>
      <c r="AM60" s="12">
        <f t="shared" si="26"/>
        <v>0.2621786312559623</v>
      </c>
      <c r="AN60" s="12">
        <f t="shared" si="27"/>
        <v>2.7420023457678551</v>
      </c>
      <c r="AO60" s="12">
        <f t="shared" si="28"/>
        <v>7.1821165884234039E-2</v>
      </c>
      <c r="AP60" s="12">
        <f t="shared" si="29"/>
        <v>2.408660279056257</v>
      </c>
      <c r="AQ60" s="12">
        <f t="shared" si="30"/>
        <v>0.94562138078321234</v>
      </c>
      <c r="AR60" s="23">
        <f t="shared" si="31"/>
        <v>0.1457419336079607</v>
      </c>
      <c r="AS60" s="1"/>
    </row>
    <row r="61" spans="1:45" ht="15.75" customHeight="1">
      <c r="A61" s="29" t="s">
        <v>218</v>
      </c>
      <c r="B61" s="29">
        <v>56</v>
      </c>
      <c r="C61" s="4" t="s">
        <v>219</v>
      </c>
      <c r="D61" s="4" t="s">
        <v>143</v>
      </c>
      <c r="E61" s="5">
        <v>45831</v>
      </c>
      <c r="F61" s="5" t="s">
        <v>220</v>
      </c>
      <c r="G61" s="5" t="s">
        <v>165</v>
      </c>
      <c r="H61" s="4">
        <v>446.3</v>
      </c>
      <c r="I61" s="4">
        <v>349.22</v>
      </c>
      <c r="J61" s="4" t="s">
        <v>104</v>
      </c>
      <c r="K61" s="1">
        <v>2.56</v>
      </c>
      <c r="L61" s="1">
        <v>9.83</v>
      </c>
      <c r="M61" s="1">
        <v>10.66</v>
      </c>
      <c r="N61" s="1">
        <f t="shared" si="16"/>
        <v>8.1</v>
      </c>
      <c r="O61" s="1">
        <f t="shared" si="17"/>
        <v>1.7300000000000004</v>
      </c>
      <c r="P61" s="1">
        <f t="shared" si="18"/>
        <v>0.2135802469135803</v>
      </c>
      <c r="Q61" s="1">
        <f t="shared" si="19"/>
        <v>274.63350617283947</v>
      </c>
      <c r="R61" s="1">
        <v>20.010000000000002</v>
      </c>
      <c r="S61" s="1">
        <f t="shared" si="20"/>
        <v>15.736259259259258</v>
      </c>
      <c r="T61" s="13">
        <v>7.4340000000000002</v>
      </c>
      <c r="U61" s="22">
        <v>27.41</v>
      </c>
      <c r="V61" s="12">
        <v>19.190000000000001</v>
      </c>
      <c r="W61" s="12">
        <v>0.71929280184612798</v>
      </c>
      <c r="X61" s="12">
        <v>0.46289243474214598</v>
      </c>
      <c r="Y61" s="12">
        <v>12.763026640429999</v>
      </c>
      <c r="Z61" s="12">
        <v>8.6405591136833007</v>
      </c>
      <c r="AA61" s="12">
        <v>64.235393263596293</v>
      </c>
      <c r="AB61" s="12">
        <v>1.0342411600761601</v>
      </c>
      <c r="AC61" s="12">
        <v>29.006687144092002</v>
      </c>
      <c r="AD61" s="12">
        <v>5.8931660010159996</v>
      </c>
      <c r="AE61" s="23">
        <v>10.054789691047199</v>
      </c>
      <c r="AF61" s="1"/>
      <c r="AG61" s="1"/>
      <c r="AH61" s="22">
        <f t="shared" si="21"/>
        <v>1.7418370877355671</v>
      </c>
      <c r="AI61" s="12">
        <f t="shared" si="22"/>
        <v>1.219476603927236</v>
      </c>
      <c r="AJ61" s="12">
        <f t="shared" si="23"/>
        <v>4.5709262283721852E-2</v>
      </c>
      <c r="AK61" s="12">
        <f t="shared" si="24"/>
        <v>2.9415658900623337E-2</v>
      </c>
      <c r="AL61" s="12">
        <f t="shared" si="25"/>
        <v>0.81105848792623314</v>
      </c>
      <c r="AM61" s="12">
        <f t="shared" si="26"/>
        <v>0.54908596581485347</v>
      </c>
      <c r="AN61" s="12">
        <f t="shared" si="27"/>
        <v>4.0819989176144267</v>
      </c>
      <c r="AO61" s="12">
        <f t="shared" si="28"/>
        <v>6.5723444373707154E-2</v>
      </c>
      <c r="AP61" s="12">
        <f t="shared" si="29"/>
        <v>1.8433025705918251</v>
      </c>
      <c r="AQ61" s="12">
        <f t="shared" si="30"/>
        <v>0.374495990687777</v>
      </c>
      <c r="AR61" s="23">
        <f t="shared" si="31"/>
        <v>0.63895678924652521</v>
      </c>
      <c r="AS61" s="1"/>
    </row>
    <row r="62" spans="1:45" ht="15.75" customHeight="1">
      <c r="A62" s="29" t="s">
        <v>221</v>
      </c>
      <c r="B62" s="29">
        <v>57</v>
      </c>
      <c r="C62" s="4" t="s">
        <v>222</v>
      </c>
      <c r="D62" s="4" t="s">
        <v>143</v>
      </c>
      <c r="E62" s="5">
        <v>45818</v>
      </c>
      <c r="F62" s="5" t="s">
        <v>220</v>
      </c>
      <c r="G62" s="5" t="s">
        <v>165</v>
      </c>
      <c r="H62" s="4">
        <v>510.25</v>
      </c>
      <c r="I62" s="4">
        <v>411.4</v>
      </c>
      <c r="J62" s="4" t="s">
        <v>223</v>
      </c>
      <c r="K62" s="1">
        <v>2.59</v>
      </c>
      <c r="L62" s="1">
        <v>9.91</v>
      </c>
      <c r="M62" s="1">
        <v>11.45</v>
      </c>
      <c r="N62" s="1">
        <f t="shared" si="16"/>
        <v>8.86</v>
      </c>
      <c r="O62" s="1">
        <f t="shared" si="17"/>
        <v>1.0500000000000007</v>
      </c>
      <c r="P62" s="1">
        <f t="shared" si="18"/>
        <v>0.1185101580135441</v>
      </c>
      <c r="Q62" s="1">
        <f t="shared" si="19"/>
        <v>362.64492099322791</v>
      </c>
      <c r="R62" s="1">
        <v>20.03</v>
      </c>
      <c r="S62" s="1">
        <f t="shared" si="20"/>
        <v>17.656241534988713</v>
      </c>
      <c r="T62" s="13">
        <v>7.6319999999999997</v>
      </c>
      <c r="U62" s="22">
        <v>37.31</v>
      </c>
      <c r="V62" s="12">
        <v>15.75</v>
      </c>
      <c r="W62" s="12">
        <v>0.65395788097324103</v>
      </c>
      <c r="X62" s="12">
        <v>0.40477363724486504</v>
      </c>
      <c r="Y62" s="12">
        <v>12.2467333717064</v>
      </c>
      <c r="Z62" s="12">
        <v>8.45660168923839</v>
      </c>
      <c r="AA62" s="12">
        <v>39.7134743769195</v>
      </c>
      <c r="AB62" s="12">
        <v>0.53719373075264698</v>
      </c>
      <c r="AC62" s="12">
        <v>35.5420165444473</v>
      </c>
      <c r="AD62" s="12">
        <v>5.8678211288597604</v>
      </c>
      <c r="AE62" s="23">
        <v>5.2910466995272696</v>
      </c>
      <c r="AF62" s="1"/>
      <c r="AG62" s="1"/>
      <c r="AH62" s="22">
        <f t="shared" si="21"/>
        <v>2.1131337564715671</v>
      </c>
      <c r="AI62" s="12">
        <f t="shared" si="22"/>
        <v>0.89203582590263142</v>
      </c>
      <c r="AJ62" s="12">
        <f t="shared" si="23"/>
        <v>3.703834021965078E-2</v>
      </c>
      <c r="AK62" s="12">
        <f t="shared" si="24"/>
        <v>2.2925243543068907E-2</v>
      </c>
      <c r="AL62" s="12">
        <f t="shared" si="25"/>
        <v>0.69362062970409111</v>
      </c>
      <c r="AM62" s="12">
        <f t="shared" si="26"/>
        <v>0.47895820140884793</v>
      </c>
      <c r="AN62" s="12">
        <f t="shared" si="27"/>
        <v>2.2492598041446588</v>
      </c>
      <c r="AO62" s="12">
        <f t="shared" si="28"/>
        <v>3.0425146240104967E-2</v>
      </c>
      <c r="AP62" s="12">
        <f t="shared" si="29"/>
        <v>2.013000132220383</v>
      </c>
      <c r="AQ62" s="12">
        <f t="shared" si="30"/>
        <v>0.33233693123373503</v>
      </c>
      <c r="AR62" s="23">
        <f t="shared" si="31"/>
        <v>0.29967004523823493</v>
      </c>
      <c r="AS62" s="1"/>
    </row>
    <row r="63" spans="1:45" ht="15.75" customHeight="1">
      <c r="A63" s="29" t="s">
        <v>224</v>
      </c>
      <c r="B63" s="29">
        <v>58</v>
      </c>
      <c r="C63" s="4" t="s">
        <v>225</v>
      </c>
      <c r="D63" s="4" t="s">
        <v>143</v>
      </c>
      <c r="E63" s="5">
        <v>45832</v>
      </c>
      <c r="F63" s="5" t="s">
        <v>149</v>
      </c>
      <c r="G63" s="5" t="s">
        <v>165</v>
      </c>
      <c r="H63" s="4">
        <v>305.58999999999997</v>
      </c>
      <c r="I63" s="4">
        <v>232.36</v>
      </c>
      <c r="J63" s="4" t="s">
        <v>226</v>
      </c>
      <c r="K63" s="1">
        <v>2.58</v>
      </c>
      <c r="L63" s="1">
        <v>9.9600000000000009</v>
      </c>
      <c r="M63" s="1">
        <v>12.42</v>
      </c>
      <c r="N63" s="1">
        <f t="shared" si="16"/>
        <v>9.84</v>
      </c>
      <c r="O63" s="1">
        <f t="shared" si="17"/>
        <v>0.12000000000000099</v>
      </c>
      <c r="P63" s="1">
        <f t="shared" si="18"/>
        <v>1.2195121951219613E-2</v>
      </c>
      <c r="Q63" s="1">
        <f t="shared" si="19"/>
        <v>229.52634146341461</v>
      </c>
      <c r="R63" s="1">
        <v>20.02</v>
      </c>
      <c r="S63" s="1">
        <f t="shared" si="20"/>
        <v>19.775853658536583</v>
      </c>
      <c r="T63" s="13">
        <v>7.3659999999999997</v>
      </c>
      <c r="U63" s="22">
        <v>37.93</v>
      </c>
      <c r="V63" s="12">
        <v>16.454999999999998</v>
      </c>
      <c r="W63" s="12">
        <v>0.76638254793812999</v>
      </c>
      <c r="X63" s="12">
        <v>0.45959991678705597</v>
      </c>
      <c r="Y63" s="12">
        <v>13.615244690006001</v>
      </c>
      <c r="Z63" s="12">
        <v>8.0128523055403207</v>
      </c>
      <c r="AA63" s="12">
        <v>44.407780259976597</v>
      </c>
      <c r="AB63" s="12">
        <v>0.56654182584067003</v>
      </c>
      <c r="AC63" s="12">
        <v>30.226633394899601</v>
      </c>
      <c r="AD63" s="12">
        <v>2.5447519754701298</v>
      </c>
      <c r="AE63" s="23">
        <v>4.2540042110375094</v>
      </c>
      <c r="AF63" s="1"/>
      <c r="AG63" s="1"/>
      <c r="AH63" s="22">
        <f t="shared" si="21"/>
        <v>1.9179955846622516</v>
      </c>
      <c r="AI63" s="12">
        <f t="shared" si="22"/>
        <v>0.83207533207533213</v>
      </c>
      <c r="AJ63" s="12">
        <f t="shared" si="23"/>
        <v>3.8753449594187708E-2</v>
      </c>
      <c r="AK63" s="12">
        <f t="shared" si="24"/>
        <v>2.3240459032657833E-2</v>
      </c>
      <c r="AL63" s="12">
        <f t="shared" si="25"/>
        <v>0.6884782283028652</v>
      </c>
      <c r="AM63" s="12">
        <f t="shared" si="26"/>
        <v>0.40518363676712571</v>
      </c>
      <c r="AN63" s="12">
        <f t="shared" si="27"/>
        <v>2.2455556673684844</v>
      </c>
      <c r="AO63" s="12">
        <f t="shared" si="28"/>
        <v>2.8648160308170193E-2</v>
      </c>
      <c r="AP63" s="12">
        <f t="shared" si="29"/>
        <v>1.5284616237970472</v>
      </c>
      <c r="AQ63" s="12">
        <f t="shared" si="30"/>
        <v>0.12867975357269315</v>
      </c>
      <c r="AR63" s="23">
        <f t="shared" si="31"/>
        <v>0.21511102804915813</v>
      </c>
      <c r="AS63" s="1"/>
    </row>
    <row r="64" spans="1:45" ht="15.75" customHeight="1">
      <c r="A64" s="29" t="s">
        <v>227</v>
      </c>
      <c r="B64" s="29">
        <v>59</v>
      </c>
      <c r="C64" s="4" t="s">
        <v>228</v>
      </c>
      <c r="D64" s="4" t="s">
        <v>143</v>
      </c>
      <c r="E64" s="5">
        <v>45832</v>
      </c>
      <c r="F64" s="5" t="s">
        <v>158</v>
      </c>
      <c r="G64" s="5" t="s">
        <v>165</v>
      </c>
      <c r="H64" s="4">
        <v>318.98</v>
      </c>
      <c r="I64" s="4">
        <v>244.17</v>
      </c>
      <c r="J64" s="4" t="s">
        <v>101</v>
      </c>
      <c r="K64" s="1">
        <v>2.5499999999999998</v>
      </c>
      <c r="L64" s="1">
        <v>9.9</v>
      </c>
      <c r="M64" s="1">
        <v>12.33</v>
      </c>
      <c r="N64" s="1">
        <f t="shared" si="16"/>
        <v>9.7800000000000011</v>
      </c>
      <c r="O64" s="1">
        <f t="shared" si="17"/>
        <v>0.11999999999999922</v>
      </c>
      <c r="P64" s="1">
        <f t="shared" si="18"/>
        <v>1.2269938650306667E-2</v>
      </c>
      <c r="Q64" s="1">
        <f t="shared" si="19"/>
        <v>241.17404907975461</v>
      </c>
      <c r="R64" s="1">
        <v>20.010000000000002</v>
      </c>
      <c r="S64" s="1">
        <f t="shared" si="20"/>
        <v>19.764478527607366</v>
      </c>
      <c r="T64" s="13">
        <v>7.5090000000000003</v>
      </c>
      <c r="U64" s="22">
        <v>39.33</v>
      </c>
      <c r="V64" s="12">
        <v>11.13</v>
      </c>
      <c r="W64" s="12">
        <v>0.66445153456882999</v>
      </c>
      <c r="X64" s="12">
        <v>0.47109364051857</v>
      </c>
      <c r="Y64" s="12">
        <v>14.602594245896501</v>
      </c>
      <c r="Z64" s="12">
        <v>6.9379203120205402</v>
      </c>
      <c r="AA64" s="12">
        <v>50.908940117595506</v>
      </c>
      <c r="AB64" s="12">
        <v>1.13789654767171</v>
      </c>
      <c r="AC64" s="12">
        <v>29.947847930074801</v>
      </c>
      <c r="AD64" s="12">
        <v>2.2472831743443198</v>
      </c>
      <c r="AE64" s="23">
        <v>9.1982472437528902</v>
      </c>
      <c r="AF64" s="1"/>
      <c r="AG64" s="1"/>
      <c r="AH64" s="22">
        <f t="shared" si="21"/>
        <v>1.9899336046262577</v>
      </c>
      <c r="AI64" s="12">
        <f t="shared" si="22"/>
        <v>0.5631314777393911</v>
      </c>
      <c r="AJ64" s="12">
        <f t="shared" si="23"/>
        <v>3.3618470309788977E-2</v>
      </c>
      <c r="AK64" s="12">
        <f t="shared" si="24"/>
        <v>2.3835369087048679E-2</v>
      </c>
      <c r="AL64" s="12">
        <f t="shared" si="25"/>
        <v>0.73883023149329963</v>
      </c>
      <c r="AM64" s="12">
        <f t="shared" si="26"/>
        <v>0.35102976799157809</v>
      </c>
      <c r="AN64" s="12">
        <f t="shared" si="27"/>
        <v>2.5757795757922484</v>
      </c>
      <c r="AO64" s="12">
        <f t="shared" si="28"/>
        <v>5.7572809021107049E-2</v>
      </c>
      <c r="AP64" s="12">
        <f t="shared" si="29"/>
        <v>1.5152359263232333</v>
      </c>
      <c r="AQ64" s="12">
        <f t="shared" si="30"/>
        <v>0.11370313520821082</v>
      </c>
      <c r="AR64" s="23">
        <f t="shared" si="31"/>
        <v>0.46539286280205261</v>
      </c>
      <c r="AS64" s="1"/>
    </row>
    <row r="65" spans="1:45" ht="15.75" customHeight="1">
      <c r="A65" s="29" t="s">
        <v>141</v>
      </c>
      <c r="B65" s="29">
        <v>60</v>
      </c>
      <c r="C65" s="4" t="s">
        <v>142</v>
      </c>
      <c r="D65" s="4" t="s">
        <v>143</v>
      </c>
      <c r="E65" s="5">
        <v>45826</v>
      </c>
      <c r="F65" s="5" t="s">
        <v>38</v>
      </c>
      <c r="G65" s="5" t="s">
        <v>39</v>
      </c>
      <c r="H65" s="4">
        <v>273.61</v>
      </c>
      <c r="I65" s="4">
        <v>222.86</v>
      </c>
      <c r="J65" s="4" t="s">
        <v>95</v>
      </c>
      <c r="K65" s="1">
        <v>2.6</v>
      </c>
      <c r="L65" s="1">
        <v>9.65</v>
      </c>
      <c r="M65" s="1">
        <v>10.35</v>
      </c>
      <c r="N65" s="1">
        <f t="shared" si="16"/>
        <v>7.75</v>
      </c>
      <c r="O65" s="1">
        <f t="shared" si="17"/>
        <v>1.9000000000000004</v>
      </c>
      <c r="P65" s="1">
        <f t="shared" si="18"/>
        <v>0.24516129032258069</v>
      </c>
      <c r="Q65" s="1">
        <f t="shared" si="19"/>
        <v>168.22335483870967</v>
      </c>
      <c r="R65" s="1">
        <v>20.010000000000002</v>
      </c>
      <c r="S65" s="1">
        <f t="shared" si="20"/>
        <v>15.10432258064516</v>
      </c>
      <c r="T65" s="13">
        <v>6.0570000000000004</v>
      </c>
      <c r="U65" s="22">
        <v>29.94</v>
      </c>
      <c r="V65" s="12">
        <v>13.2</v>
      </c>
      <c r="W65" s="12">
        <v>0.43369900385320398</v>
      </c>
      <c r="X65" s="12">
        <v>0.34033436609932</v>
      </c>
      <c r="Y65" s="12">
        <v>14.996734295846601</v>
      </c>
      <c r="Z65" s="12">
        <v>5.6684288052520397</v>
      </c>
      <c r="AA65" s="12">
        <v>39.143197065383298</v>
      </c>
      <c r="AB65" s="12">
        <v>0.95268088324092104</v>
      </c>
      <c r="AC65" s="12">
        <v>11.4976319398895</v>
      </c>
      <c r="AD65" s="12">
        <v>1.0723165869142099</v>
      </c>
      <c r="AE65" s="23">
        <v>6.9917181832356601</v>
      </c>
      <c r="AF65" s="1"/>
      <c r="AG65" s="1"/>
      <c r="AH65" s="22">
        <f t="shared" si="21"/>
        <v>1.9822140211945312</v>
      </c>
      <c r="AI65" s="12">
        <f t="shared" si="22"/>
        <v>0.87392201335229824</v>
      </c>
      <c r="AJ65" s="12">
        <f t="shared" si="23"/>
        <v>2.871356868456653E-2</v>
      </c>
      <c r="AK65" s="12">
        <f t="shared" si="24"/>
        <v>2.2532249578370901E-2</v>
      </c>
      <c r="AL65" s="12">
        <f t="shared" si="25"/>
        <v>0.99287698708603955</v>
      </c>
      <c r="AM65" s="12">
        <f t="shared" si="26"/>
        <v>0.37528520560833523</v>
      </c>
      <c r="AN65" s="12">
        <f t="shared" si="27"/>
        <v>2.5915228476079957</v>
      </c>
      <c r="AO65" s="12">
        <f t="shared" si="28"/>
        <v>6.307339360334481E-2</v>
      </c>
      <c r="AP65" s="12">
        <f t="shared" si="29"/>
        <v>0.76121467073423654</v>
      </c>
      <c r="AQ65" s="12">
        <f t="shared" si="30"/>
        <v>7.0994020499025076E-2</v>
      </c>
      <c r="AR65" s="23">
        <f t="shared" si="31"/>
        <v>0.46289518420342279</v>
      </c>
      <c r="AS65" s="1"/>
    </row>
    <row r="66" spans="1:45" ht="15.75" customHeight="1">
      <c r="A66" s="29" t="s">
        <v>144</v>
      </c>
      <c r="B66" s="29">
        <v>61</v>
      </c>
      <c r="C66" s="4" t="s">
        <v>145</v>
      </c>
      <c r="D66" s="4" t="s">
        <v>143</v>
      </c>
      <c r="E66" s="5">
        <v>45818</v>
      </c>
      <c r="F66" s="5" t="s">
        <v>38</v>
      </c>
      <c r="G66" s="5" t="s">
        <v>39</v>
      </c>
      <c r="H66" s="4">
        <v>319.45999999999998</v>
      </c>
      <c r="I66" s="4">
        <v>258.62</v>
      </c>
      <c r="J66" s="4" t="s">
        <v>146</v>
      </c>
      <c r="K66" s="1">
        <v>2.58</v>
      </c>
      <c r="L66" s="1">
        <v>9.57</v>
      </c>
      <c r="M66" s="1">
        <v>12.03</v>
      </c>
      <c r="N66" s="1">
        <f t="shared" si="16"/>
        <v>9.4499999999999993</v>
      </c>
      <c r="O66" s="1">
        <f t="shared" si="17"/>
        <v>0.12000000000000099</v>
      </c>
      <c r="P66" s="1">
        <f t="shared" si="18"/>
        <v>1.2698412698412804E-2</v>
      </c>
      <c r="Q66" s="1">
        <f t="shared" si="19"/>
        <v>255.33593650793651</v>
      </c>
      <c r="R66" s="1">
        <v>20.02</v>
      </c>
      <c r="S66" s="1">
        <f t="shared" si="20"/>
        <v>19.765777777777775</v>
      </c>
      <c r="T66" s="13">
        <v>6.2809999999999997</v>
      </c>
      <c r="U66" s="22">
        <v>26.56</v>
      </c>
      <c r="V66" s="12">
        <v>18.408000000000001</v>
      </c>
      <c r="W66" s="12">
        <v>0.40235708688225702</v>
      </c>
      <c r="X66" s="12">
        <v>0.34714787104406597</v>
      </c>
      <c r="Y66" s="12">
        <v>9.6205225625864497</v>
      </c>
      <c r="Z66" s="12">
        <v>4.2088764086544304</v>
      </c>
      <c r="AA66" s="12">
        <v>39.002184992138297</v>
      </c>
      <c r="AB66" s="12">
        <v>0.60673449568611004</v>
      </c>
      <c r="AC66" s="12">
        <v>12.233444134936299</v>
      </c>
      <c r="AD66" s="12">
        <v>0.91785444156775908</v>
      </c>
      <c r="AE66" s="23">
        <v>6.06781219941095</v>
      </c>
      <c r="AF66" s="1"/>
      <c r="AG66" s="1"/>
      <c r="AH66" s="22">
        <f t="shared" si="21"/>
        <v>1.3437366492028873</v>
      </c>
      <c r="AI66" s="12">
        <f t="shared" si="22"/>
        <v>0.93130663548670001</v>
      </c>
      <c r="AJ66" s="12">
        <f t="shared" si="23"/>
        <v>2.0356248633667133E-2</v>
      </c>
      <c r="AK66" s="12">
        <f t="shared" si="24"/>
        <v>1.7563076694829413E-2</v>
      </c>
      <c r="AL66" s="12">
        <f t="shared" si="25"/>
        <v>0.48672623312615554</v>
      </c>
      <c r="AM66" s="12">
        <f t="shared" si="26"/>
        <v>0.21293755580852358</v>
      </c>
      <c r="AN66" s="12">
        <f t="shared" si="27"/>
        <v>1.9732178227758681</v>
      </c>
      <c r="AO66" s="12">
        <f t="shared" si="28"/>
        <v>3.0696211528202455E-2</v>
      </c>
      <c r="AP66" s="12">
        <f t="shared" si="29"/>
        <v>0.6189204529401362</v>
      </c>
      <c r="AQ66" s="12">
        <f t="shared" si="30"/>
        <v>4.6436545623804518E-2</v>
      </c>
      <c r="AR66" s="23">
        <f t="shared" si="31"/>
        <v>0.306985754248075</v>
      </c>
      <c r="AS66" s="1"/>
    </row>
    <row r="67" spans="1:45" ht="15.75" customHeight="1">
      <c r="A67" s="29" t="s">
        <v>147</v>
      </c>
      <c r="B67" s="29">
        <v>62</v>
      </c>
      <c r="C67" s="4" t="s">
        <v>148</v>
      </c>
      <c r="D67" s="4" t="s">
        <v>143</v>
      </c>
      <c r="E67" s="5">
        <v>45832</v>
      </c>
      <c r="F67" s="5" t="s">
        <v>149</v>
      </c>
      <c r="G67" s="5" t="s">
        <v>39</v>
      </c>
      <c r="H67" s="4">
        <v>170.81</v>
      </c>
      <c r="I67" s="4">
        <v>152.41</v>
      </c>
      <c r="J67" s="4" t="s">
        <v>150</v>
      </c>
      <c r="K67" s="1">
        <v>2.34</v>
      </c>
      <c r="L67" s="1">
        <v>9.56</v>
      </c>
      <c r="M67" s="1">
        <v>11.81</v>
      </c>
      <c r="N67" s="1">
        <f t="shared" si="16"/>
        <v>9.4700000000000006</v>
      </c>
      <c r="O67" s="1">
        <f t="shared" si="17"/>
        <v>8.9999999999999858E-2</v>
      </c>
      <c r="P67" s="1">
        <f t="shared" si="18"/>
        <v>9.5036958817317687E-3</v>
      </c>
      <c r="Q67" s="1">
        <f t="shared" si="19"/>
        <v>150.96154171066527</v>
      </c>
      <c r="R67" s="1">
        <v>20.010000000000002</v>
      </c>
      <c r="S67" s="1">
        <f t="shared" si="20"/>
        <v>19.819831045406548</v>
      </c>
      <c r="T67" s="13">
        <v>7.4770000000000003</v>
      </c>
      <c r="U67" s="22">
        <v>49.26</v>
      </c>
      <c r="V67" s="12">
        <v>17.82</v>
      </c>
      <c r="W67" s="12">
        <v>0.45463817791505501</v>
      </c>
      <c r="X67" s="12">
        <v>1.9132840442864101</v>
      </c>
      <c r="Y67" s="12">
        <v>15.0638882067914</v>
      </c>
      <c r="Z67" s="12">
        <v>9.9729441794537603</v>
      </c>
      <c r="AA67" s="12">
        <v>53.883781925020806</v>
      </c>
      <c r="AB67" s="12">
        <v>0.63463507508530703</v>
      </c>
      <c r="AC67" s="12">
        <v>15.1104186899111</v>
      </c>
      <c r="AD67" s="12">
        <v>0.63038217411918995</v>
      </c>
      <c r="AE67" s="23">
        <v>6.59945049415286</v>
      </c>
      <c r="AF67" s="1"/>
      <c r="AG67" s="1"/>
      <c r="AH67" s="22">
        <f t="shared" si="21"/>
        <v>2.485389501411341</v>
      </c>
      <c r="AI67" s="12">
        <f t="shared" si="22"/>
        <v>0.89909949076634388</v>
      </c>
      <c r="AJ67" s="12">
        <f t="shared" si="23"/>
        <v>2.2938549621008102E-2</v>
      </c>
      <c r="AK67" s="12">
        <f t="shared" si="24"/>
        <v>9.6533822104897984E-2</v>
      </c>
      <c r="AL67" s="12">
        <f t="shared" si="25"/>
        <v>0.76004120177818635</v>
      </c>
      <c r="AM67" s="12">
        <f t="shared" si="26"/>
        <v>0.50318008042581641</v>
      </c>
      <c r="AN67" s="12">
        <f t="shared" si="27"/>
        <v>2.7186801845875941</v>
      </c>
      <c r="AO67" s="12">
        <f t="shared" si="28"/>
        <v>3.2020206107276093E-2</v>
      </c>
      <c r="AP67" s="12">
        <f t="shared" si="29"/>
        <v>0.76238887482409168</v>
      </c>
      <c r="AQ67" s="12">
        <f t="shared" si="30"/>
        <v>3.180562804370058E-2</v>
      </c>
      <c r="AR67" s="23">
        <f t="shared" si="31"/>
        <v>0.33297208634290304</v>
      </c>
      <c r="AS67" s="1"/>
    </row>
    <row r="68" spans="1:45" ht="15.75" customHeight="1">
      <c r="A68" s="29" t="s">
        <v>151</v>
      </c>
      <c r="B68" s="29">
        <v>63</v>
      </c>
      <c r="C68" s="4" t="s">
        <v>152</v>
      </c>
      <c r="D68" s="4" t="s">
        <v>143</v>
      </c>
      <c r="E68" s="5">
        <v>45820</v>
      </c>
      <c r="F68" s="5" t="s">
        <v>149</v>
      </c>
      <c r="G68" s="5" t="s">
        <v>39</v>
      </c>
      <c r="H68" s="4">
        <v>225.46</v>
      </c>
      <c r="I68" s="4">
        <v>209.82</v>
      </c>
      <c r="J68" s="4" t="s">
        <v>153</v>
      </c>
      <c r="K68" s="1">
        <v>2.58</v>
      </c>
      <c r="L68" s="1">
        <v>9.32</v>
      </c>
      <c r="M68" s="1">
        <v>10.94</v>
      </c>
      <c r="N68" s="1">
        <f t="shared" si="16"/>
        <v>8.36</v>
      </c>
      <c r="O68" s="1">
        <f t="shared" si="17"/>
        <v>0.96000000000000085</v>
      </c>
      <c r="P68" s="1">
        <f t="shared" si="18"/>
        <v>0.11483253588516758</v>
      </c>
      <c r="Q68" s="1">
        <f t="shared" si="19"/>
        <v>185.72583732057413</v>
      </c>
      <c r="R68" s="1">
        <v>20.04</v>
      </c>
      <c r="S68" s="1">
        <f t="shared" si="20"/>
        <v>17.738755980861239</v>
      </c>
      <c r="T68" s="13">
        <v>7.1630000000000003</v>
      </c>
      <c r="U68" s="22">
        <v>30.33</v>
      </c>
      <c r="V68" s="12">
        <v>22.88</v>
      </c>
      <c r="W68" s="12">
        <v>0.52936789452730604</v>
      </c>
      <c r="X68" s="12">
        <v>2.0837302880429598</v>
      </c>
      <c r="Y68" s="12">
        <v>18.429300957266598</v>
      </c>
      <c r="Z68" s="12">
        <v>8.20627503582811</v>
      </c>
      <c r="AA68" s="12">
        <v>39.987345345000001</v>
      </c>
      <c r="AB68" s="12">
        <v>0.87600645238590902</v>
      </c>
      <c r="AC68" s="12">
        <v>12.5815951075685</v>
      </c>
      <c r="AD68" s="12">
        <v>1.33013409967935</v>
      </c>
      <c r="AE68" s="23">
        <v>6.2082402328595299</v>
      </c>
      <c r="AF68" s="1"/>
      <c r="AG68" s="1"/>
      <c r="AH68" s="22">
        <f t="shared" si="21"/>
        <v>1.7098155041268819</v>
      </c>
      <c r="AI68" s="12">
        <f t="shared" si="22"/>
        <v>1.2898311485137837</v>
      </c>
      <c r="AJ68" s="12">
        <f t="shared" si="23"/>
        <v>2.9842447525545393E-2</v>
      </c>
      <c r="AK68" s="12">
        <f t="shared" si="24"/>
        <v>0.11746766742217693</v>
      </c>
      <c r="AL68" s="12">
        <f t="shared" si="25"/>
        <v>1.0389286022734856</v>
      </c>
      <c r="AM68" s="12">
        <f t="shared" si="26"/>
        <v>0.4626184071014931</v>
      </c>
      <c r="AN68" s="12">
        <f t="shared" si="27"/>
        <v>2.2542361701205702</v>
      </c>
      <c r="AO68" s="12">
        <f t="shared" si="28"/>
        <v>4.9383759116538556E-2</v>
      </c>
      <c r="AP68" s="12">
        <f t="shared" si="29"/>
        <v>0.70927155890430416</v>
      </c>
      <c r="AQ68" s="12">
        <f t="shared" si="30"/>
        <v>7.4984632581589314E-2</v>
      </c>
      <c r="AR68" s="23">
        <f t="shared" si="31"/>
        <v>0.34998171458910343</v>
      </c>
      <c r="AS68" s="1"/>
    </row>
    <row r="69" spans="1:45" ht="15.75" customHeight="1">
      <c r="A69" s="29" t="s">
        <v>154</v>
      </c>
      <c r="B69" s="29">
        <v>64</v>
      </c>
      <c r="C69" s="4" t="s">
        <v>155</v>
      </c>
      <c r="D69" s="4" t="s">
        <v>143</v>
      </c>
      <c r="E69" s="5">
        <v>45818</v>
      </c>
      <c r="F69" s="5" t="s">
        <v>149</v>
      </c>
      <c r="G69" s="5" t="s">
        <v>39</v>
      </c>
      <c r="H69" s="4">
        <v>342.42</v>
      </c>
      <c r="I69" s="4">
        <v>285.45</v>
      </c>
      <c r="J69" s="4" t="s">
        <v>49</v>
      </c>
      <c r="K69" s="1">
        <v>2.61</v>
      </c>
      <c r="L69" s="1">
        <v>9.81</v>
      </c>
      <c r="M69" s="1">
        <v>12.12</v>
      </c>
      <c r="N69" s="1">
        <f t="shared" si="16"/>
        <v>9.51</v>
      </c>
      <c r="O69" s="1">
        <f t="shared" si="17"/>
        <v>0.30000000000000071</v>
      </c>
      <c r="P69" s="1">
        <f t="shared" si="18"/>
        <v>3.154574132492121E-2</v>
      </c>
      <c r="Q69" s="1">
        <f t="shared" si="19"/>
        <v>276.44526813880123</v>
      </c>
      <c r="R69" s="1">
        <v>20.010000000000002</v>
      </c>
      <c r="S69" s="1">
        <f t="shared" si="20"/>
        <v>19.378769716088328</v>
      </c>
      <c r="T69" s="13">
        <v>7.4160000000000004</v>
      </c>
      <c r="U69" s="22">
        <v>26.04</v>
      </c>
      <c r="V69" s="12">
        <v>10.95</v>
      </c>
      <c r="W69" s="12">
        <v>0.43434072436160798</v>
      </c>
      <c r="X69" s="12">
        <v>2.2824200852710401</v>
      </c>
      <c r="Y69" s="12">
        <v>16.267735037160399</v>
      </c>
      <c r="Z69" s="12">
        <v>7.8338457823152101</v>
      </c>
      <c r="AA69" s="12">
        <v>38.623525714266499</v>
      </c>
      <c r="AB69" s="12">
        <v>0.66550366119678195</v>
      </c>
      <c r="AC69" s="12">
        <v>21.686638336467897</v>
      </c>
      <c r="AD69" s="12">
        <v>1.39591942329679</v>
      </c>
      <c r="AE69" s="23">
        <v>3.3018568203268699</v>
      </c>
      <c r="AF69" s="1"/>
      <c r="AG69" s="1"/>
      <c r="AH69" s="22">
        <f t="shared" si="21"/>
        <v>1.3437385541756808</v>
      </c>
      <c r="AI69" s="12">
        <f t="shared" si="22"/>
        <v>0.56505135054622524</v>
      </c>
      <c r="AJ69" s="12">
        <f t="shared" si="23"/>
        <v>2.2413224922169163E-2</v>
      </c>
      <c r="AK69" s="12">
        <f t="shared" si="24"/>
        <v>0.11777941111381113</v>
      </c>
      <c r="AL69" s="12">
        <f t="shared" si="25"/>
        <v>0.8394617034772266</v>
      </c>
      <c r="AM69" s="12">
        <f t="shared" si="26"/>
        <v>0.40424887116603286</v>
      </c>
      <c r="AN69" s="12">
        <f t="shared" si="27"/>
        <v>1.9930845084660407</v>
      </c>
      <c r="AO69" s="12">
        <f t="shared" si="28"/>
        <v>3.4341894297050153E-2</v>
      </c>
      <c r="AP69" s="12">
        <f t="shared" si="29"/>
        <v>1.1190926283861853</v>
      </c>
      <c r="AQ69" s="12">
        <f t="shared" si="30"/>
        <v>7.2033438848178907E-2</v>
      </c>
      <c r="AR69" s="23">
        <f t="shared" si="31"/>
        <v>0.17038526535488246</v>
      </c>
      <c r="AS69" s="1"/>
    </row>
    <row r="70" spans="1:45" ht="15.75" customHeight="1">
      <c r="A70" s="29" t="s">
        <v>156</v>
      </c>
      <c r="B70" s="29">
        <v>65</v>
      </c>
      <c r="C70" s="4" t="s">
        <v>157</v>
      </c>
      <c r="D70" s="4" t="s">
        <v>143</v>
      </c>
      <c r="E70" s="5"/>
      <c r="F70" s="5" t="s">
        <v>158</v>
      </c>
      <c r="G70" s="5" t="s">
        <v>39</v>
      </c>
      <c r="H70" s="4">
        <v>268.70999999999998</v>
      </c>
      <c r="I70" s="4">
        <v>198.19</v>
      </c>
      <c r="J70" s="4" t="s">
        <v>159</v>
      </c>
      <c r="K70" s="1">
        <v>2.59</v>
      </c>
      <c r="L70" s="1">
        <v>9.68</v>
      </c>
      <c r="M70" s="1">
        <v>12.12</v>
      </c>
      <c r="N70" s="1">
        <f t="shared" ref="N70:N101" si="32">M70-K70</f>
        <v>9.5299999999999994</v>
      </c>
      <c r="O70" s="1">
        <f t="shared" ref="O70:O101" si="33">L70-N70</f>
        <v>0.15000000000000036</v>
      </c>
      <c r="P70" s="1">
        <f t="shared" ref="P70:P102" si="34">(L70-N70)/N70</f>
        <v>1.5739769150052506E-2</v>
      </c>
      <c r="Q70" s="1">
        <f t="shared" ref="Q70:Q101" si="35">(1-P70)*I70</f>
        <v>195.07053515215111</v>
      </c>
      <c r="R70" s="1">
        <v>20.03</v>
      </c>
      <c r="S70" s="1">
        <f t="shared" ref="S70:S101" si="36">(1-P70)*R70</f>
        <v>19.714732423924449</v>
      </c>
      <c r="T70" s="13">
        <v>7.4249999999999998</v>
      </c>
      <c r="U70" s="22">
        <v>44.08</v>
      </c>
      <c r="V70" s="12">
        <v>14.66</v>
      </c>
      <c r="W70" s="12">
        <v>0.47034302929759197</v>
      </c>
      <c r="X70" s="12">
        <v>3.0161829728449301</v>
      </c>
      <c r="Y70" s="12">
        <v>18.0237496795719</v>
      </c>
      <c r="Z70" s="12">
        <v>7.7288726021052501</v>
      </c>
      <c r="AA70" s="12">
        <v>41.456988949708702</v>
      </c>
      <c r="AB70" s="12">
        <v>1.0181271494717701</v>
      </c>
      <c r="AC70" s="12">
        <v>14.5429049148687</v>
      </c>
      <c r="AD70" s="12">
        <v>1.0375121566698799</v>
      </c>
      <c r="AE70" s="23">
        <v>8.0389566709542706</v>
      </c>
      <c r="AF70" s="1"/>
      <c r="AG70" s="1"/>
      <c r="AH70" s="22">
        <f t="shared" ref="AH70:AH102" si="37">U70/$S70</f>
        <v>2.2358913655103696</v>
      </c>
      <c r="AI70" s="12">
        <f t="shared" ref="AI70:AI102" si="38">V70/$S70</f>
        <v>0.74360633889251415</v>
      </c>
      <c r="AJ70" s="12">
        <f t="shared" ref="AJ70:AJ102" si="39">W70/$S70</f>
        <v>2.3857439156861997E-2</v>
      </c>
      <c r="AK70" s="12">
        <f t="shared" ref="AK70:AK102" si="40">X70/$S70</f>
        <v>0.15299132181904215</v>
      </c>
      <c r="AL70" s="12">
        <f t="shared" ref="AL70:AL102" si="41">Y70/$S70</f>
        <v>0.91422745650351878</v>
      </c>
      <c r="AM70" s="12">
        <f t="shared" ref="AM70:AM102" si="42">Z70/$S70</f>
        <v>0.39203537922361148</v>
      </c>
      <c r="AN70" s="12">
        <f t="shared" ref="AN70:AN102" si="43">AA70/$S70</f>
        <v>2.1028430951159822</v>
      </c>
      <c r="AO70" s="12">
        <f t="shared" ref="AO70:AO102" si="44">AB70/$S70</f>
        <v>5.1642960582931406E-2</v>
      </c>
      <c r="AP70" s="12">
        <f t="shared" ref="AP70:AP102" si="45">AC70/$S70</f>
        <v>0.73766686770855827</v>
      </c>
      <c r="AQ70" s="12">
        <f t="shared" ref="AQ70:AQ102" si="46">AD70/$S70</f>
        <v>5.2626235769288265E-2</v>
      </c>
      <c r="AR70" s="23">
        <f t="shared" ref="AR70:AR102" si="47">AE70/$S70</f>
        <v>0.40776392487065882</v>
      </c>
      <c r="AS70" s="1"/>
    </row>
    <row r="71" spans="1:45" ht="15.75" customHeight="1">
      <c r="A71" s="29" t="s">
        <v>160</v>
      </c>
      <c r="B71" s="29">
        <v>66</v>
      </c>
      <c r="C71" s="4" t="s">
        <v>161</v>
      </c>
      <c r="D71" s="4" t="s">
        <v>143</v>
      </c>
      <c r="E71" s="5">
        <v>45831</v>
      </c>
      <c r="F71" s="5" t="s">
        <v>158</v>
      </c>
      <c r="G71" s="5" t="s">
        <v>39</v>
      </c>
      <c r="H71" s="4">
        <v>265.16000000000003</v>
      </c>
      <c r="I71" s="4">
        <v>262.06</v>
      </c>
      <c r="J71" s="4" t="s">
        <v>107</v>
      </c>
      <c r="K71" s="1">
        <v>2.58</v>
      </c>
      <c r="L71" s="1">
        <v>10.050000000000001</v>
      </c>
      <c r="M71" s="1">
        <v>12.48</v>
      </c>
      <c r="N71" s="1">
        <f t="shared" si="32"/>
        <v>9.9</v>
      </c>
      <c r="O71" s="1">
        <f t="shared" si="33"/>
        <v>0.15000000000000036</v>
      </c>
      <c r="P71" s="1">
        <f t="shared" si="34"/>
        <v>1.5151515151515187E-2</v>
      </c>
      <c r="Q71" s="1">
        <f t="shared" si="35"/>
        <v>258.08939393939397</v>
      </c>
      <c r="R71" s="1">
        <v>20.04</v>
      </c>
      <c r="S71" s="1">
        <f t="shared" si="36"/>
        <v>19.736363636363635</v>
      </c>
      <c r="T71" s="13">
        <v>7.5469999999999997</v>
      </c>
      <c r="U71" s="22">
        <v>48.66</v>
      </c>
      <c r="V71" s="12">
        <v>16.13</v>
      </c>
      <c r="W71" s="12">
        <v>0.57197404729874501</v>
      </c>
      <c r="X71" s="12">
        <v>4.76369485254531</v>
      </c>
      <c r="Y71" s="12">
        <v>10.450799919378099</v>
      </c>
      <c r="Z71" s="12">
        <v>7.29008033641861</v>
      </c>
      <c r="AA71" s="12">
        <v>55.065216398183203</v>
      </c>
      <c r="AB71" s="12">
        <v>1.12495527193695</v>
      </c>
      <c r="AC71" s="12">
        <v>11.379046869737902</v>
      </c>
      <c r="AD71" s="12">
        <v>1.3553596270077799</v>
      </c>
      <c r="AE71" s="23">
        <v>10.888053250920599</v>
      </c>
      <c r="AF71" s="1"/>
      <c r="AG71" s="1"/>
      <c r="AH71" s="22">
        <f t="shared" si="37"/>
        <v>2.4654997696913865</v>
      </c>
      <c r="AI71" s="12">
        <f t="shared" si="38"/>
        <v>0.81727314601566103</v>
      </c>
      <c r="AJ71" s="12">
        <f t="shared" si="39"/>
        <v>2.8980720959402101E-2</v>
      </c>
      <c r="AK71" s="12">
        <f t="shared" si="40"/>
        <v>0.24136639050206549</v>
      </c>
      <c r="AL71" s="12">
        <f t="shared" si="41"/>
        <v>0.52952003276443615</v>
      </c>
      <c r="AM71" s="12">
        <f t="shared" si="42"/>
        <v>0.36937302487611567</v>
      </c>
      <c r="AN71" s="12">
        <f t="shared" si="43"/>
        <v>2.7900386014740457</v>
      </c>
      <c r="AO71" s="12">
        <f t="shared" si="44"/>
        <v>5.6999115574880015E-2</v>
      </c>
      <c r="AP71" s="12">
        <f t="shared" si="45"/>
        <v>0.57655235176009645</v>
      </c>
      <c r="AQ71" s="12">
        <f t="shared" si="46"/>
        <v>6.8673219240375769E-2</v>
      </c>
      <c r="AR71" s="23">
        <f t="shared" si="47"/>
        <v>0.55167473864636851</v>
      </c>
      <c r="AS71" s="1"/>
    </row>
    <row r="72" spans="1:45" ht="15.75" customHeight="1">
      <c r="A72" s="30" t="s">
        <v>229</v>
      </c>
      <c r="B72" s="30">
        <v>67</v>
      </c>
      <c r="C72" s="6" t="s">
        <v>230</v>
      </c>
      <c r="D72" s="4" t="s">
        <v>143</v>
      </c>
      <c r="E72" s="4"/>
      <c r="F72" s="7" t="s">
        <v>158</v>
      </c>
      <c r="G72" s="7" t="s">
        <v>39</v>
      </c>
      <c r="H72" s="6">
        <v>384.5</v>
      </c>
      <c r="I72" s="6">
        <v>347.75</v>
      </c>
      <c r="J72" s="6" t="s">
        <v>174</v>
      </c>
      <c r="K72" s="8">
        <v>2.5499999999999998</v>
      </c>
      <c r="L72" s="8">
        <v>10.01</v>
      </c>
      <c r="M72" s="8">
        <v>12.24</v>
      </c>
      <c r="N72" s="1">
        <f t="shared" si="32"/>
        <v>9.6900000000000013</v>
      </c>
      <c r="O72" s="1">
        <f t="shared" si="33"/>
        <v>0.31999999999999851</v>
      </c>
      <c r="P72" s="1">
        <f t="shared" si="34"/>
        <v>3.3023735810113364E-2</v>
      </c>
      <c r="Q72" s="1">
        <f t="shared" si="35"/>
        <v>336.2659958720331</v>
      </c>
      <c r="R72" s="8">
        <v>20.03</v>
      </c>
      <c r="S72" s="1">
        <f t="shared" si="36"/>
        <v>19.36853457172343</v>
      </c>
      <c r="T72" s="13">
        <v>7.798</v>
      </c>
      <c r="U72" s="22">
        <v>37.85</v>
      </c>
      <c r="V72" s="12">
        <v>11.35</v>
      </c>
      <c r="W72" s="12">
        <v>0.38682662281417801</v>
      </c>
      <c r="X72" s="12">
        <v>2.0416714889815899</v>
      </c>
      <c r="Y72" s="12">
        <v>7.8506408390885198</v>
      </c>
      <c r="Z72" s="12">
        <v>4.1310559434316803</v>
      </c>
      <c r="AA72" s="12">
        <v>32.404905978746797</v>
      </c>
      <c r="AB72" s="12">
        <v>2.01237139484294</v>
      </c>
      <c r="AC72" s="12">
        <v>6.3327071170350004</v>
      </c>
      <c r="AD72" s="12">
        <v>0.93777792241144597</v>
      </c>
      <c r="AE72" s="23">
        <v>10.316334727082401</v>
      </c>
      <c r="AF72" s="1"/>
      <c r="AH72" s="22">
        <f t="shared" si="37"/>
        <v>1.9542005028742901</v>
      </c>
      <c r="AI72" s="12">
        <f t="shared" si="38"/>
        <v>0.58600200020140536</v>
      </c>
      <c r="AJ72" s="12">
        <f t="shared" si="39"/>
        <v>1.9971909665221402E-2</v>
      </c>
      <c r="AK72" s="12">
        <f t="shared" si="40"/>
        <v>0.10541176883677474</v>
      </c>
      <c r="AL72" s="12">
        <f t="shared" si="41"/>
        <v>0.40532962419107593</v>
      </c>
      <c r="AM72" s="12">
        <f t="shared" si="42"/>
        <v>0.21328696438721306</v>
      </c>
      <c r="AN72" s="12">
        <f t="shared" si="43"/>
        <v>1.6730695788444143</v>
      </c>
      <c r="AO72" s="12">
        <f t="shared" si="44"/>
        <v>0.10389900110361718</v>
      </c>
      <c r="AP72" s="12">
        <f t="shared" si="45"/>
        <v>0.32695850548653616</v>
      </c>
      <c r="AQ72" s="12">
        <f t="shared" si="46"/>
        <v>4.8417598086152043E-2</v>
      </c>
      <c r="AR72" s="23">
        <f t="shared" si="47"/>
        <v>0.53263372553458199</v>
      </c>
    </row>
    <row r="73" spans="1:45" ht="15.75" customHeight="1">
      <c r="A73" s="30" t="s">
        <v>231</v>
      </c>
      <c r="B73" s="30">
        <v>68</v>
      </c>
      <c r="C73" s="6" t="s">
        <v>232</v>
      </c>
      <c r="D73" s="4" t="s">
        <v>143</v>
      </c>
      <c r="E73" s="4"/>
      <c r="F73" s="7" t="s">
        <v>158</v>
      </c>
      <c r="G73" s="7" t="s">
        <v>39</v>
      </c>
      <c r="H73" s="6">
        <v>158.82</v>
      </c>
      <c r="I73" s="6">
        <v>128.53</v>
      </c>
      <c r="J73" s="6" t="s">
        <v>187</v>
      </c>
      <c r="K73" s="8">
        <v>2.62</v>
      </c>
      <c r="L73" s="8">
        <v>10.02</v>
      </c>
      <c r="M73" s="8">
        <v>12.55</v>
      </c>
      <c r="N73" s="1">
        <f t="shared" si="32"/>
        <v>9.93</v>
      </c>
      <c r="O73" s="1">
        <f t="shared" si="33"/>
        <v>8.9999999999999858E-2</v>
      </c>
      <c r="P73" s="1">
        <f t="shared" si="34"/>
        <v>9.0634441087613146E-3</v>
      </c>
      <c r="Q73" s="1">
        <f t="shared" si="35"/>
        <v>127.3650755287009</v>
      </c>
      <c r="R73" s="8">
        <v>20.03</v>
      </c>
      <c r="S73" s="1">
        <f t="shared" si="36"/>
        <v>19.84845921450151</v>
      </c>
      <c r="T73" s="13">
        <v>7.75</v>
      </c>
      <c r="U73" s="22">
        <v>29.01</v>
      </c>
      <c r="V73" s="12">
        <v>11.39</v>
      </c>
      <c r="W73" s="12">
        <v>0.44381025104994198</v>
      </c>
      <c r="X73" s="12">
        <v>3.08990929213976</v>
      </c>
      <c r="Y73" s="12">
        <v>11.67562142601348</v>
      </c>
      <c r="Z73" s="12">
        <v>4.2146303243957002</v>
      </c>
      <c r="AA73" s="12">
        <v>68.458718412372605</v>
      </c>
      <c r="AB73" s="12">
        <v>1.862076900021064</v>
      </c>
      <c r="AC73" s="12">
        <v>11.106080456122481</v>
      </c>
      <c r="AD73" s="12">
        <v>2.85402922575416</v>
      </c>
      <c r="AE73" s="23">
        <v>9.3258473852504604</v>
      </c>
      <c r="AF73" s="1"/>
      <c r="AH73" s="22">
        <f t="shared" si="37"/>
        <v>1.461574406682659</v>
      </c>
      <c r="AI73" s="12">
        <f t="shared" si="38"/>
        <v>0.5738480693593756</v>
      </c>
      <c r="AJ73" s="12">
        <f t="shared" si="39"/>
        <v>2.2359934655567078E-2</v>
      </c>
      <c r="AK73" s="12">
        <f t="shared" si="40"/>
        <v>0.15567502035030695</v>
      </c>
      <c r="AL73" s="12">
        <f t="shared" si="41"/>
        <v>0.58823817505608389</v>
      </c>
      <c r="AM73" s="12">
        <f t="shared" si="42"/>
        <v>0.21234042798226088</v>
      </c>
      <c r="AN73" s="12">
        <f t="shared" si="43"/>
        <v>3.44906965687069</v>
      </c>
      <c r="AO73" s="12">
        <f t="shared" si="44"/>
        <v>9.3814682535186877E-2</v>
      </c>
      <c r="AP73" s="12">
        <f t="shared" si="45"/>
        <v>0.55954370745353632</v>
      </c>
      <c r="AQ73" s="12">
        <f t="shared" si="46"/>
        <v>0.1437909711232887</v>
      </c>
      <c r="AR73" s="23">
        <f t="shared" si="47"/>
        <v>0.46985245980387691</v>
      </c>
    </row>
    <row r="74" spans="1:45" ht="15.75" customHeight="1">
      <c r="A74" s="30" t="s">
        <v>233</v>
      </c>
      <c r="B74" s="30">
        <v>69</v>
      </c>
      <c r="C74" s="6" t="s">
        <v>234</v>
      </c>
      <c r="D74" s="4" t="s">
        <v>143</v>
      </c>
      <c r="E74" s="4"/>
      <c r="F74" s="7" t="s">
        <v>158</v>
      </c>
      <c r="G74" s="7" t="s">
        <v>39</v>
      </c>
      <c r="H74" s="6">
        <v>221.75</v>
      </c>
      <c r="I74" s="6">
        <v>211.87</v>
      </c>
      <c r="J74" s="6" t="s">
        <v>110</v>
      </c>
      <c r="K74" s="8">
        <v>2.61</v>
      </c>
      <c r="L74" s="8">
        <v>10</v>
      </c>
      <c r="M74" s="8">
        <v>12.08</v>
      </c>
      <c r="N74" s="1">
        <f t="shared" si="32"/>
        <v>9.4700000000000006</v>
      </c>
      <c r="O74" s="1">
        <f t="shared" si="33"/>
        <v>0.52999999999999936</v>
      </c>
      <c r="P74" s="1">
        <f t="shared" si="34"/>
        <v>5.596620908130933E-2</v>
      </c>
      <c r="Q74" s="1">
        <f t="shared" si="35"/>
        <v>200.01243928194299</v>
      </c>
      <c r="R74" s="8">
        <v>19.989999999999998</v>
      </c>
      <c r="S74" s="1">
        <f t="shared" si="36"/>
        <v>18.871235480464623</v>
      </c>
      <c r="T74" s="13">
        <v>7.3650000000000002</v>
      </c>
      <c r="U74" s="22">
        <v>41.43</v>
      </c>
      <c r="V74" s="12">
        <v>13.05</v>
      </c>
      <c r="W74" s="12">
        <v>0.43871866132292997</v>
      </c>
      <c r="X74" s="12">
        <v>2.04538765538683</v>
      </c>
      <c r="Y74" s="12">
        <v>13.9646752203969</v>
      </c>
      <c r="Z74" s="12">
        <v>5.81041620147196</v>
      </c>
      <c r="AA74" s="12">
        <v>52.030982933242399</v>
      </c>
      <c r="AB74" s="12">
        <v>2.37427433542608</v>
      </c>
      <c r="AC74" s="12">
        <v>9.1082882935478811</v>
      </c>
      <c r="AD74" s="12">
        <v>2.71728633015816</v>
      </c>
      <c r="AE74" s="23">
        <v>9.1290147872001004</v>
      </c>
      <c r="AF74" s="1"/>
      <c r="AH74" s="22">
        <f t="shared" si="37"/>
        <v>2.1954047493545432</v>
      </c>
      <c r="AI74" s="12">
        <f t="shared" si="38"/>
        <v>0.69152865023115595</v>
      </c>
      <c r="AJ74" s="12">
        <f t="shared" si="39"/>
        <v>2.3248009478610374E-2</v>
      </c>
      <c r="AK74" s="12">
        <f t="shared" si="40"/>
        <v>0.10838652601755734</v>
      </c>
      <c r="AL74" s="12">
        <f t="shared" si="41"/>
        <v>0.73999793150019455</v>
      </c>
      <c r="AM74" s="12">
        <f t="shared" si="42"/>
        <v>0.30789802858889997</v>
      </c>
      <c r="AN74" s="12">
        <f t="shared" si="43"/>
        <v>2.7571582680479252</v>
      </c>
      <c r="AO74" s="12">
        <f t="shared" si="44"/>
        <v>0.12581446179736949</v>
      </c>
      <c r="AP74" s="12">
        <f t="shared" si="45"/>
        <v>0.48265458310754056</v>
      </c>
      <c r="AQ74" s="12">
        <f t="shared" si="46"/>
        <v>0.14399090790696117</v>
      </c>
      <c r="AR74" s="23">
        <f t="shared" si="47"/>
        <v>0.48375289453890791</v>
      </c>
    </row>
    <row r="75" spans="1:45" ht="15.75" customHeight="1">
      <c r="A75" s="30" t="s">
        <v>235</v>
      </c>
      <c r="B75" s="30">
        <v>70</v>
      </c>
      <c r="C75" s="6" t="s">
        <v>236</v>
      </c>
      <c r="D75" s="4" t="s">
        <v>143</v>
      </c>
      <c r="E75" s="4"/>
      <c r="F75" s="7" t="s">
        <v>158</v>
      </c>
      <c r="G75" s="7" t="s">
        <v>39</v>
      </c>
      <c r="H75" s="6">
        <v>290.44</v>
      </c>
      <c r="I75" s="6">
        <v>273.67</v>
      </c>
      <c r="J75" s="6" t="s">
        <v>237</v>
      </c>
      <c r="K75" s="8">
        <v>2.57</v>
      </c>
      <c r="L75" s="8">
        <v>10.02</v>
      </c>
      <c r="M75" s="8">
        <v>12.3</v>
      </c>
      <c r="N75" s="1">
        <f t="shared" si="32"/>
        <v>9.73</v>
      </c>
      <c r="O75" s="1">
        <f t="shared" si="33"/>
        <v>0.28999999999999915</v>
      </c>
      <c r="P75" s="1">
        <f t="shared" si="34"/>
        <v>2.9804727646454175E-2</v>
      </c>
      <c r="Q75" s="1">
        <f t="shared" si="35"/>
        <v>265.51334018499489</v>
      </c>
      <c r="R75" s="8">
        <v>19.989999999999998</v>
      </c>
      <c r="S75" s="1">
        <f t="shared" si="36"/>
        <v>19.39420349434738</v>
      </c>
      <c r="T75" s="13">
        <v>7.37</v>
      </c>
      <c r="U75" s="22">
        <v>20.02</v>
      </c>
      <c r="V75" s="12">
        <v>15.416</v>
      </c>
      <c r="W75" s="12">
        <v>0.51839573776282</v>
      </c>
      <c r="X75" s="12">
        <v>2.04536726320238</v>
      </c>
      <c r="Y75" s="12">
        <v>14.166302387215799</v>
      </c>
      <c r="Z75" s="12">
        <v>5.7859211816781198</v>
      </c>
      <c r="AA75" s="12">
        <v>32.555759352378402</v>
      </c>
      <c r="AB75" s="12">
        <v>1.507299311977206</v>
      </c>
      <c r="AC75" s="12">
        <v>4.3272407310594998</v>
      </c>
      <c r="AD75" s="12">
        <v>1.0175275143729521</v>
      </c>
      <c r="AE75" s="23">
        <v>12.8628738297932</v>
      </c>
      <c r="AF75" s="1"/>
      <c r="AH75" s="22">
        <f t="shared" si="37"/>
        <v>1.032267192918493</v>
      </c>
      <c r="AI75" s="12">
        <f t="shared" si="38"/>
        <v>0.79487667562594855</v>
      </c>
      <c r="AJ75" s="12">
        <f t="shared" si="39"/>
        <v>2.6729416235831041E-2</v>
      </c>
      <c r="AK75" s="12">
        <f t="shared" si="40"/>
        <v>0.10546281335031477</v>
      </c>
      <c r="AL75" s="12">
        <f t="shared" si="41"/>
        <v>0.73044001994434571</v>
      </c>
      <c r="AM75" s="12">
        <f t="shared" si="42"/>
        <v>0.29833249833459158</v>
      </c>
      <c r="AN75" s="12">
        <f t="shared" si="43"/>
        <v>1.6786334825179636</v>
      </c>
      <c r="AO75" s="12">
        <f t="shared" si="44"/>
        <v>7.7719062420713608E-2</v>
      </c>
      <c r="AP75" s="12">
        <f t="shared" si="45"/>
        <v>0.22312031181485303</v>
      </c>
      <c r="AQ75" s="12">
        <f t="shared" si="46"/>
        <v>5.2465548000953988E-2</v>
      </c>
      <c r="AR75" s="23">
        <f t="shared" si="47"/>
        <v>0.66323290015711156</v>
      </c>
    </row>
    <row r="76" spans="1:45" ht="15.75" customHeight="1">
      <c r="A76" s="30" t="s">
        <v>238</v>
      </c>
      <c r="B76" s="30">
        <v>71</v>
      </c>
      <c r="C76" s="6" t="s">
        <v>239</v>
      </c>
      <c r="D76" s="4" t="s">
        <v>143</v>
      </c>
      <c r="E76" s="9">
        <v>45820</v>
      </c>
      <c r="F76" s="7" t="s">
        <v>158</v>
      </c>
      <c r="G76" s="7" t="s">
        <v>39</v>
      </c>
      <c r="H76" s="6">
        <v>233.22</v>
      </c>
      <c r="I76" s="6">
        <v>219.53</v>
      </c>
      <c r="J76" s="6" t="s">
        <v>240</v>
      </c>
      <c r="K76" s="8">
        <v>2.35</v>
      </c>
      <c r="L76" s="8">
        <v>9.99</v>
      </c>
      <c r="M76" s="8">
        <v>10.31</v>
      </c>
      <c r="N76" s="1">
        <f t="shared" si="32"/>
        <v>7.9600000000000009</v>
      </c>
      <c r="O76" s="1">
        <f t="shared" si="33"/>
        <v>2.0299999999999994</v>
      </c>
      <c r="P76" s="1">
        <f t="shared" si="34"/>
        <v>0.25502512562814061</v>
      </c>
      <c r="Q76" s="1">
        <f t="shared" si="35"/>
        <v>163.54433417085428</v>
      </c>
      <c r="R76" s="8">
        <v>20.010000000000002</v>
      </c>
      <c r="S76" s="1">
        <f t="shared" si="36"/>
        <v>14.906947236180908</v>
      </c>
      <c r="T76" s="13">
        <v>7.4109999999999996</v>
      </c>
      <c r="U76" s="22">
        <v>32.869999999999997</v>
      </c>
      <c r="V76" s="12">
        <v>13.21</v>
      </c>
      <c r="W76" s="12">
        <v>0.52387975355759997</v>
      </c>
      <c r="X76" s="12">
        <v>2.0503127098280398</v>
      </c>
      <c r="Y76" s="12">
        <v>10.1192998372092</v>
      </c>
      <c r="Z76" s="12">
        <v>7.0683718734089993</v>
      </c>
      <c r="AA76" s="12">
        <v>37.453290036813002</v>
      </c>
      <c r="AB76" s="12">
        <v>2.0762215493582601</v>
      </c>
      <c r="AC76" s="12">
        <v>12.613206774344199</v>
      </c>
      <c r="AD76" s="12">
        <v>1.7331511480323001</v>
      </c>
      <c r="AE76" s="23">
        <v>13.178117460393601</v>
      </c>
      <c r="AF76" s="1"/>
      <c r="AH76" s="22">
        <f t="shared" si="37"/>
        <v>2.2050121650810337</v>
      </c>
      <c r="AI76" s="12">
        <f t="shared" si="38"/>
        <v>0.88616400063037604</v>
      </c>
      <c r="AJ76" s="12">
        <f t="shared" si="39"/>
        <v>3.514332916441016E-2</v>
      </c>
      <c r="AK76" s="12">
        <f t="shared" si="40"/>
        <v>0.13754075045302974</v>
      </c>
      <c r="AL76" s="12">
        <f t="shared" si="41"/>
        <v>0.67883113000148498</v>
      </c>
      <c r="AM76" s="12">
        <f t="shared" si="42"/>
        <v>0.47416629048322062</v>
      </c>
      <c r="AN76" s="12">
        <f t="shared" si="43"/>
        <v>2.5124721677359583</v>
      </c>
      <c r="AO76" s="12">
        <f t="shared" si="44"/>
        <v>0.13927878837050064</v>
      </c>
      <c r="AP76" s="12">
        <f t="shared" si="45"/>
        <v>0.8461294304262692</v>
      </c>
      <c r="AQ76" s="12">
        <f t="shared" si="46"/>
        <v>0.1162646597303128</v>
      </c>
      <c r="AR76" s="23">
        <f t="shared" si="47"/>
        <v>0.88402523008928113</v>
      </c>
    </row>
    <row r="77" spans="1:45" ht="15.75" customHeight="1">
      <c r="A77" s="30" t="s">
        <v>241</v>
      </c>
      <c r="B77" s="30">
        <v>72</v>
      </c>
      <c r="C77" s="7" t="s">
        <v>242</v>
      </c>
      <c r="D77" s="4" t="s">
        <v>143</v>
      </c>
      <c r="E77" s="9">
        <v>45831</v>
      </c>
      <c r="F77" s="7" t="s">
        <v>158</v>
      </c>
      <c r="G77" s="5" t="s">
        <v>165</v>
      </c>
      <c r="H77" s="6">
        <v>265.82</v>
      </c>
      <c r="I77" s="6">
        <v>237.29</v>
      </c>
      <c r="J77" s="6" t="s">
        <v>243</v>
      </c>
      <c r="K77" s="8">
        <v>2.31</v>
      </c>
      <c r="L77" s="8">
        <v>10.01</v>
      </c>
      <c r="M77" s="8">
        <v>12.25</v>
      </c>
      <c r="N77" s="1">
        <f t="shared" si="32"/>
        <v>9.94</v>
      </c>
      <c r="O77" s="1">
        <f t="shared" si="33"/>
        <v>7.0000000000000284E-2</v>
      </c>
      <c r="P77" s="1">
        <f t="shared" si="34"/>
        <v>7.0422535211267893E-3</v>
      </c>
      <c r="Q77" s="1">
        <f t="shared" si="35"/>
        <v>235.61894366197183</v>
      </c>
      <c r="R77" s="8">
        <v>20</v>
      </c>
      <c r="S77" s="1">
        <f t="shared" si="36"/>
        <v>19.859154929577464</v>
      </c>
      <c r="T77" s="13">
        <v>7.36</v>
      </c>
      <c r="U77" s="22">
        <v>30.02</v>
      </c>
      <c r="V77" s="12">
        <v>9.3810000000000002</v>
      </c>
      <c r="W77" s="12">
        <v>0.48978046780481599</v>
      </c>
      <c r="X77" s="12">
        <v>0.427287485108094</v>
      </c>
      <c r="Y77" s="12">
        <v>11.57708868815698</v>
      </c>
      <c r="Z77" s="12">
        <v>5.0777863580362004</v>
      </c>
      <c r="AA77" s="12">
        <v>46.050233749093195</v>
      </c>
      <c r="AB77" s="12">
        <v>1.9151972861080979</v>
      </c>
      <c r="AC77" s="12">
        <v>27.515057772113099</v>
      </c>
      <c r="AD77" s="12">
        <v>3.4706841605102299</v>
      </c>
      <c r="AE77" s="23">
        <v>9.7386395894026396</v>
      </c>
      <c r="AF77" s="1"/>
      <c r="AH77" s="22">
        <f t="shared" si="37"/>
        <v>1.5116453900709219</v>
      </c>
      <c r="AI77" s="12">
        <f t="shared" si="38"/>
        <v>0.47237659574468088</v>
      </c>
      <c r="AJ77" s="12">
        <f t="shared" si="39"/>
        <v>2.4662704407192863E-2</v>
      </c>
      <c r="AK77" s="12">
        <f t="shared" si="40"/>
        <v>2.1515894640194804E-2</v>
      </c>
      <c r="AL77" s="12">
        <f t="shared" si="41"/>
        <v>0.58295978500648626</v>
      </c>
      <c r="AM77" s="12">
        <f t="shared" si="42"/>
        <v>0.25568995136210654</v>
      </c>
      <c r="AN77" s="12">
        <f t="shared" si="43"/>
        <v>2.3188415575784518</v>
      </c>
      <c r="AO77" s="12">
        <f t="shared" si="44"/>
        <v>9.6439012279202097E-2</v>
      </c>
      <c r="AP77" s="12">
        <f t="shared" si="45"/>
        <v>1.3855100012908015</v>
      </c>
      <c r="AQ77" s="12">
        <f t="shared" si="46"/>
        <v>0.17476494708952223</v>
      </c>
      <c r="AR77" s="23">
        <f t="shared" si="47"/>
        <v>0.49038539776424639</v>
      </c>
    </row>
    <row r="78" spans="1:45" ht="15.75" customHeight="1">
      <c r="A78" s="30" t="s">
        <v>244</v>
      </c>
      <c r="B78" s="30">
        <v>73</v>
      </c>
      <c r="C78" s="7" t="s">
        <v>245</v>
      </c>
      <c r="D78" s="4" t="s">
        <v>143</v>
      </c>
      <c r="E78" s="9">
        <v>45836</v>
      </c>
      <c r="F78" s="7" t="s">
        <v>158</v>
      </c>
      <c r="G78" s="5" t="s">
        <v>165</v>
      </c>
      <c r="H78" s="6">
        <v>408.47</v>
      </c>
      <c r="I78" s="6">
        <v>334.2</v>
      </c>
      <c r="J78" s="6" t="s">
        <v>92</v>
      </c>
      <c r="K78" s="8">
        <v>2.58</v>
      </c>
      <c r="L78" s="8">
        <v>10</v>
      </c>
      <c r="M78" s="8">
        <v>12.06</v>
      </c>
      <c r="N78" s="1">
        <f t="shared" si="32"/>
        <v>9.48</v>
      </c>
      <c r="O78" s="1">
        <f t="shared" si="33"/>
        <v>0.51999999999999957</v>
      </c>
      <c r="P78" s="1">
        <f t="shared" si="34"/>
        <v>5.485232067510544E-2</v>
      </c>
      <c r="Q78" s="1">
        <f t="shared" si="35"/>
        <v>315.86835443037972</v>
      </c>
      <c r="R78" s="8">
        <v>20.02</v>
      </c>
      <c r="S78" s="1">
        <f t="shared" si="36"/>
        <v>18.921856540084388</v>
      </c>
      <c r="T78" s="13">
        <v>7.7290000000000001</v>
      </c>
      <c r="U78" s="22">
        <v>22.75</v>
      </c>
      <c r="V78" s="12">
        <v>19.149999999999999</v>
      </c>
      <c r="W78" s="12">
        <v>0.22830163037686002</v>
      </c>
      <c r="X78" s="12">
        <v>0.40789770788753399</v>
      </c>
      <c r="Y78" s="12">
        <v>9.3193835828517404</v>
      </c>
      <c r="Z78" s="12">
        <v>7.1181875471772207</v>
      </c>
      <c r="AA78" s="12">
        <v>57.150840033523203</v>
      </c>
      <c r="AB78" s="12">
        <v>1.4409286503260161</v>
      </c>
      <c r="AC78" s="12">
        <v>35.625491082874802</v>
      </c>
      <c r="AD78" s="12">
        <v>3.4335179360718802</v>
      </c>
      <c r="AE78" s="23">
        <v>8.8729498515730789</v>
      </c>
      <c r="AF78" s="1"/>
      <c r="AH78" s="22">
        <f t="shared" si="37"/>
        <v>1.2023133116883118</v>
      </c>
      <c r="AI78" s="12">
        <f t="shared" si="38"/>
        <v>1.0120571392892821</v>
      </c>
      <c r="AJ78" s="12">
        <f t="shared" si="39"/>
        <v>1.2065498429988723E-2</v>
      </c>
      <c r="AK78" s="12">
        <f t="shared" si="40"/>
        <v>2.1556960175838795E-2</v>
      </c>
      <c r="AL78" s="12">
        <f t="shared" si="41"/>
        <v>0.49251951377547953</v>
      </c>
      <c r="AM78" s="12">
        <f t="shared" si="42"/>
        <v>0.37618864365121513</v>
      </c>
      <c r="AN78" s="12">
        <f t="shared" si="43"/>
        <v>3.0203611317131527</v>
      </c>
      <c r="AO78" s="12">
        <f t="shared" si="44"/>
        <v>7.6151547141979858E-2</v>
      </c>
      <c r="AP78" s="12">
        <f t="shared" si="45"/>
        <v>1.8827693259065328</v>
      </c>
      <c r="AQ78" s="12">
        <f t="shared" si="46"/>
        <v>0.18145777232790325</v>
      </c>
      <c r="AR78" s="23">
        <f t="shared" si="47"/>
        <v>0.46892596573578649</v>
      </c>
    </row>
    <row r="79" spans="1:45" ht="15.75" customHeight="1">
      <c r="A79" s="30" t="s">
        <v>246</v>
      </c>
      <c r="B79" s="30">
        <v>74</v>
      </c>
      <c r="C79" s="7" t="s">
        <v>247</v>
      </c>
      <c r="D79" s="4" t="s">
        <v>143</v>
      </c>
      <c r="E79" s="9">
        <v>45824</v>
      </c>
      <c r="F79" s="7" t="s">
        <v>158</v>
      </c>
      <c r="G79" s="5" t="s">
        <v>165</v>
      </c>
      <c r="H79" s="6">
        <v>259</v>
      </c>
      <c r="I79" s="6">
        <v>234.41</v>
      </c>
      <c r="J79" s="6" t="s">
        <v>248</v>
      </c>
      <c r="K79" s="8">
        <v>2.58</v>
      </c>
      <c r="L79" s="8">
        <v>10</v>
      </c>
      <c r="M79" s="8">
        <v>12.44</v>
      </c>
      <c r="N79" s="1">
        <f t="shared" si="32"/>
        <v>9.86</v>
      </c>
      <c r="O79" s="1">
        <f t="shared" si="33"/>
        <v>0.14000000000000057</v>
      </c>
      <c r="P79" s="1">
        <f t="shared" si="34"/>
        <v>1.4198782961460505E-2</v>
      </c>
      <c r="Q79" s="1">
        <f t="shared" si="35"/>
        <v>231.08166328600404</v>
      </c>
      <c r="R79" s="8">
        <v>19.989999999999998</v>
      </c>
      <c r="S79" s="1">
        <f t="shared" si="36"/>
        <v>19.706166328600403</v>
      </c>
      <c r="T79" s="13">
        <v>7.6319999999999997</v>
      </c>
      <c r="U79" s="22">
        <v>43.81</v>
      </c>
      <c r="V79" s="12">
        <v>8.6359999999999992</v>
      </c>
      <c r="W79" s="12">
        <v>0.44952616361673803</v>
      </c>
      <c r="X79" s="12">
        <v>0.63026526767108004</v>
      </c>
      <c r="Y79" s="12">
        <v>17.480171063602139</v>
      </c>
      <c r="Z79" s="12">
        <v>7.6289587236668801</v>
      </c>
      <c r="AA79" s="12">
        <v>69.889160824866593</v>
      </c>
      <c r="AB79" s="12">
        <v>1.9247412632057539</v>
      </c>
      <c r="AC79" s="12">
        <v>21.0210819421191</v>
      </c>
      <c r="AD79" s="12">
        <v>4.8975141665813098</v>
      </c>
      <c r="AE79" s="23">
        <v>9.5081597463030008</v>
      </c>
      <c r="AF79" s="1"/>
      <c r="AH79" s="22">
        <f t="shared" si="37"/>
        <v>2.2231619925188935</v>
      </c>
      <c r="AI79" s="12">
        <f t="shared" si="38"/>
        <v>0.4382384607941831</v>
      </c>
      <c r="AJ79" s="12">
        <f t="shared" si="39"/>
        <v>2.2811446738086313E-2</v>
      </c>
      <c r="AK79" s="12">
        <f t="shared" si="40"/>
        <v>3.1983149698495597E-2</v>
      </c>
      <c r="AL79" s="12">
        <f t="shared" si="41"/>
        <v>0.88704067407735299</v>
      </c>
      <c r="AM79" s="12">
        <f t="shared" si="42"/>
        <v>0.38713561006509145</v>
      </c>
      <c r="AN79" s="12">
        <f t="shared" si="43"/>
        <v>3.546563022937316</v>
      </c>
      <c r="AO79" s="12">
        <f t="shared" si="44"/>
        <v>9.7672029714490655E-2</v>
      </c>
      <c r="AP79" s="12">
        <f t="shared" si="45"/>
        <v>1.0667260994143901</v>
      </c>
      <c r="AQ79" s="12">
        <f t="shared" si="46"/>
        <v>0.24852698819827465</v>
      </c>
      <c r="AR79" s="23">
        <f t="shared" si="47"/>
        <v>0.4824966757995644</v>
      </c>
    </row>
    <row r="80" spans="1:45" ht="15.75" customHeight="1">
      <c r="A80" s="30" t="s">
        <v>249</v>
      </c>
      <c r="B80" s="30">
        <v>75</v>
      </c>
      <c r="C80" s="7" t="s">
        <v>250</v>
      </c>
      <c r="D80" s="4" t="s">
        <v>143</v>
      </c>
      <c r="E80" s="9">
        <v>45824</v>
      </c>
      <c r="F80" s="7" t="s">
        <v>158</v>
      </c>
      <c r="G80" s="5" t="s">
        <v>165</v>
      </c>
      <c r="H80" s="6">
        <v>257.39</v>
      </c>
      <c r="I80" s="6">
        <v>240.65</v>
      </c>
      <c r="J80" s="6" t="s">
        <v>251</v>
      </c>
      <c r="K80" s="8">
        <v>2.57</v>
      </c>
      <c r="L80" s="8">
        <v>10.01</v>
      </c>
      <c r="M80" s="8">
        <v>12.26</v>
      </c>
      <c r="N80" s="1">
        <f t="shared" si="32"/>
        <v>9.69</v>
      </c>
      <c r="O80" s="1">
        <f t="shared" si="33"/>
        <v>0.32000000000000028</v>
      </c>
      <c r="P80" s="1">
        <f t="shared" si="34"/>
        <v>3.3023735810113551E-2</v>
      </c>
      <c r="Q80" s="1">
        <f t="shared" si="35"/>
        <v>232.70283797729618</v>
      </c>
      <c r="R80" s="8">
        <v>19.989999999999998</v>
      </c>
      <c r="S80" s="1">
        <f t="shared" si="36"/>
        <v>19.329855521155828</v>
      </c>
      <c r="T80" s="13">
        <v>7.3330000000000002</v>
      </c>
      <c r="U80" s="22">
        <v>27.42</v>
      </c>
      <c r="V80" s="12">
        <v>15.19</v>
      </c>
      <c r="W80" s="12">
        <v>0.76224403344367597</v>
      </c>
      <c r="X80" s="12">
        <v>1.1791698417369401</v>
      </c>
      <c r="Y80" s="12">
        <v>11.157109716780859</v>
      </c>
      <c r="Z80" s="12">
        <v>4.5666119348332002</v>
      </c>
      <c r="AA80" s="12">
        <v>41.350393200957399</v>
      </c>
      <c r="AB80" s="12">
        <v>2.1255011632520198</v>
      </c>
      <c r="AC80" s="12">
        <v>24.9686564639875</v>
      </c>
      <c r="AD80" s="12">
        <v>8.1632580834045001</v>
      </c>
      <c r="AE80" s="23">
        <v>9.6170598127876001</v>
      </c>
      <c r="AF80" s="1"/>
      <c r="AH80" s="22">
        <f t="shared" si="37"/>
        <v>1.4185310371300914</v>
      </c>
      <c r="AI80" s="12">
        <f t="shared" si="38"/>
        <v>0.7858310158280849</v>
      </c>
      <c r="AJ80" s="12">
        <f t="shared" si="39"/>
        <v>3.9433509092161992E-2</v>
      </c>
      <c r="AK80" s="12">
        <f t="shared" si="40"/>
        <v>6.1002517087951395E-2</v>
      </c>
      <c r="AL80" s="12">
        <f t="shared" si="41"/>
        <v>0.57719571181325202</v>
      </c>
      <c r="AM80" s="12">
        <f t="shared" si="42"/>
        <v>0.23624656324177945</v>
      </c>
      <c r="AN80" s="12">
        <f t="shared" si="43"/>
        <v>2.1391982550361481</v>
      </c>
      <c r="AO80" s="12">
        <f t="shared" si="44"/>
        <v>0.10995949560645892</v>
      </c>
      <c r="AP80" s="12">
        <f t="shared" si="45"/>
        <v>1.2917145933481091</v>
      </c>
      <c r="AQ80" s="12">
        <f t="shared" si="46"/>
        <v>0.42231345570431755</v>
      </c>
      <c r="AR80" s="23">
        <f t="shared" si="47"/>
        <v>0.4975236261989685</v>
      </c>
    </row>
    <row r="81" spans="1:44" ht="15.75" customHeight="1">
      <c r="A81" s="30" t="s">
        <v>252</v>
      </c>
      <c r="B81" s="30">
        <v>76</v>
      </c>
      <c r="C81" s="7" t="s">
        <v>253</v>
      </c>
      <c r="D81" s="4" t="s">
        <v>143</v>
      </c>
      <c r="E81" s="9">
        <v>45824</v>
      </c>
      <c r="F81" s="7" t="s">
        <v>158</v>
      </c>
      <c r="G81" s="5" t="s">
        <v>165</v>
      </c>
      <c r="H81" s="6">
        <v>329.21</v>
      </c>
      <c r="I81" s="6">
        <v>303.57</v>
      </c>
      <c r="J81" s="6" t="s">
        <v>85</v>
      </c>
      <c r="K81" s="8">
        <v>2.62</v>
      </c>
      <c r="L81" s="8">
        <v>9.99</v>
      </c>
      <c r="M81" s="8">
        <v>12.5</v>
      </c>
      <c r="N81" s="1">
        <f t="shared" si="32"/>
        <v>9.879999999999999</v>
      </c>
      <c r="O81" s="1">
        <f t="shared" si="33"/>
        <v>0.11000000000000121</v>
      </c>
      <c r="P81" s="1">
        <f t="shared" si="34"/>
        <v>1.1133603238866521E-2</v>
      </c>
      <c r="Q81" s="1">
        <f t="shared" si="35"/>
        <v>300.1901720647773</v>
      </c>
      <c r="R81" s="8">
        <v>20.02</v>
      </c>
      <c r="S81" s="1">
        <f t="shared" si="36"/>
        <v>19.797105263157892</v>
      </c>
      <c r="T81" s="13">
        <v>7.38</v>
      </c>
      <c r="U81" s="22">
        <v>23.44</v>
      </c>
      <c r="V81" s="12">
        <v>10.35</v>
      </c>
      <c r="W81" s="12">
        <v>0.47574734018417197</v>
      </c>
      <c r="X81" s="12">
        <v>0.57112861856137997</v>
      </c>
      <c r="Y81" s="12">
        <v>10.653397745845139</v>
      </c>
      <c r="Z81" s="12">
        <v>4.9047443247902001</v>
      </c>
      <c r="AA81" s="12">
        <v>45.5768007605636</v>
      </c>
      <c r="AB81" s="12">
        <v>1.8541607582081079</v>
      </c>
      <c r="AC81" s="12">
        <v>17.1808356019379</v>
      </c>
      <c r="AD81" s="12">
        <v>3.05837847230198</v>
      </c>
      <c r="AE81" s="23">
        <v>5.99098069187378</v>
      </c>
      <c r="AF81" s="1"/>
      <c r="AH81" s="22">
        <f t="shared" si="37"/>
        <v>1.1840114849326724</v>
      </c>
      <c r="AI81" s="12">
        <f t="shared" si="38"/>
        <v>0.52280370601762627</v>
      </c>
      <c r="AJ81" s="12">
        <f t="shared" si="39"/>
        <v>2.4031156770658306E-2</v>
      </c>
      <c r="AK81" s="12">
        <f t="shared" si="40"/>
        <v>2.8849097429624802E-2</v>
      </c>
      <c r="AL81" s="12">
        <f t="shared" si="41"/>
        <v>0.53812906504421876</v>
      </c>
      <c r="AM81" s="12">
        <f t="shared" si="42"/>
        <v>0.24775058068301803</v>
      </c>
      <c r="AN81" s="12">
        <f t="shared" si="43"/>
        <v>2.302195202516871</v>
      </c>
      <c r="AO81" s="12">
        <f t="shared" si="44"/>
        <v>9.3658175453492809E-2</v>
      </c>
      <c r="AP81" s="12">
        <f t="shared" si="45"/>
        <v>0.86784584784277385</v>
      </c>
      <c r="AQ81" s="12">
        <f t="shared" si="46"/>
        <v>0.15448614490086968</v>
      </c>
      <c r="AR81" s="23">
        <f t="shared" si="47"/>
        <v>0.30261902496537729</v>
      </c>
    </row>
    <row r="82" spans="1:44" ht="15.75" customHeight="1">
      <c r="A82" s="30" t="s">
        <v>254</v>
      </c>
      <c r="B82" s="30">
        <v>77</v>
      </c>
      <c r="C82" s="7" t="s">
        <v>255</v>
      </c>
      <c r="D82" s="4" t="s">
        <v>143</v>
      </c>
      <c r="E82" s="9">
        <v>45824</v>
      </c>
      <c r="F82" s="7" t="s">
        <v>158</v>
      </c>
      <c r="G82" s="5" t="s">
        <v>165</v>
      </c>
      <c r="H82" s="6">
        <v>344.39</v>
      </c>
      <c r="I82" s="6">
        <v>327.25</v>
      </c>
      <c r="J82" s="6" t="s">
        <v>256</v>
      </c>
      <c r="K82" s="8">
        <v>0.98</v>
      </c>
      <c r="L82" s="8">
        <v>10.01</v>
      </c>
      <c r="M82" s="8">
        <v>10.79</v>
      </c>
      <c r="N82" s="1">
        <f t="shared" si="32"/>
        <v>9.8099999999999987</v>
      </c>
      <c r="O82" s="1">
        <f t="shared" si="33"/>
        <v>0.20000000000000107</v>
      </c>
      <c r="P82" s="1">
        <f t="shared" si="34"/>
        <v>2.0387359836901233E-2</v>
      </c>
      <c r="Q82" s="1">
        <f t="shared" si="35"/>
        <v>320.57823649337411</v>
      </c>
      <c r="R82" s="8">
        <v>20</v>
      </c>
      <c r="S82" s="1">
        <f t="shared" si="36"/>
        <v>19.592252803261974</v>
      </c>
      <c r="T82" s="13">
        <v>7.5629999999999997</v>
      </c>
      <c r="U82" s="22">
        <v>45.62</v>
      </c>
      <c r="V82" s="12">
        <v>13.59</v>
      </c>
      <c r="W82" s="12">
        <v>0.43163531411614198</v>
      </c>
      <c r="X82" s="12">
        <v>0.61723653598537997</v>
      </c>
      <c r="Y82" s="12">
        <v>8.6741349921896607</v>
      </c>
      <c r="Z82" s="12">
        <v>4.1825153256061203</v>
      </c>
      <c r="AA82" s="12">
        <v>43.928759681547398</v>
      </c>
      <c r="AB82" s="12">
        <v>1.4782863547750518</v>
      </c>
      <c r="AC82" s="12">
        <v>20.135342024071399</v>
      </c>
      <c r="AD82" s="12">
        <v>4.8756469293386102</v>
      </c>
      <c r="AE82" s="23">
        <v>6.3275867048196801</v>
      </c>
      <c r="AF82" s="1"/>
      <c r="AH82" s="22">
        <f t="shared" si="37"/>
        <v>2.3284713839750264</v>
      </c>
      <c r="AI82" s="12">
        <f t="shared" si="38"/>
        <v>0.69364151925078055</v>
      </c>
      <c r="AJ82" s="12">
        <f t="shared" si="39"/>
        <v>2.2030917957748978E-2</v>
      </c>
      <c r="AK82" s="12">
        <f t="shared" si="40"/>
        <v>3.1504112476673146E-2</v>
      </c>
      <c r="AL82" s="12">
        <f t="shared" si="41"/>
        <v>0.44273290464818205</v>
      </c>
      <c r="AM82" s="12">
        <f t="shared" si="42"/>
        <v>0.21347801948072864</v>
      </c>
      <c r="AN82" s="12">
        <f t="shared" si="43"/>
        <v>2.2421494925909471</v>
      </c>
      <c r="AO82" s="12">
        <f t="shared" si="44"/>
        <v>7.5452596984096051E-2</v>
      </c>
      <c r="AP82" s="12">
        <f t="shared" si="45"/>
        <v>1.0277195903024998</v>
      </c>
      <c r="AQ82" s="12">
        <f t="shared" si="46"/>
        <v>0.24885586044126834</v>
      </c>
      <c r="AR82" s="23">
        <f t="shared" si="47"/>
        <v>0.32296371266535417</v>
      </c>
    </row>
    <row r="83" spans="1:44" ht="15.75" customHeight="1">
      <c r="A83" s="30" t="s">
        <v>257</v>
      </c>
      <c r="B83" s="30">
        <v>78</v>
      </c>
      <c r="C83" s="7" t="s">
        <v>258</v>
      </c>
      <c r="D83" s="4" t="s">
        <v>143</v>
      </c>
      <c r="E83" s="9">
        <v>45820</v>
      </c>
      <c r="F83" s="7" t="s">
        <v>220</v>
      </c>
      <c r="G83" s="7" t="s">
        <v>39</v>
      </c>
      <c r="H83" s="6">
        <v>357.41</v>
      </c>
      <c r="I83" s="6">
        <v>342.49</v>
      </c>
      <c r="J83" s="6" t="s">
        <v>182</v>
      </c>
      <c r="K83" s="8">
        <v>2.59</v>
      </c>
      <c r="L83" s="8">
        <v>10.01</v>
      </c>
      <c r="M83" s="8">
        <v>10.42</v>
      </c>
      <c r="N83" s="1">
        <f t="shared" si="32"/>
        <v>7.83</v>
      </c>
      <c r="O83" s="1">
        <f t="shared" si="33"/>
        <v>2.1799999999999997</v>
      </c>
      <c r="P83" s="1">
        <f t="shared" si="34"/>
        <v>0.2784163473818646</v>
      </c>
      <c r="Q83" s="1">
        <f t="shared" si="35"/>
        <v>247.13518518518521</v>
      </c>
      <c r="R83" s="8">
        <v>20.02</v>
      </c>
      <c r="S83" s="1">
        <f t="shared" si="36"/>
        <v>14.44610472541507</v>
      </c>
      <c r="T83" s="13">
        <v>7.2210000000000001</v>
      </c>
      <c r="U83" s="22">
        <v>17.5</v>
      </c>
      <c r="V83" s="12">
        <v>17.48</v>
      </c>
      <c r="W83" s="12">
        <v>0.53526349374301407</v>
      </c>
      <c r="X83" s="12">
        <v>9.3822035480052995E-2</v>
      </c>
      <c r="Y83" s="12">
        <v>17.8707070745014</v>
      </c>
      <c r="Z83" s="12">
        <v>2.4728354846574199</v>
      </c>
      <c r="AA83" s="12">
        <v>14.511896025166401</v>
      </c>
      <c r="AB83" s="12">
        <v>1.42098061548139</v>
      </c>
      <c r="AC83" s="12">
        <v>3.4620086952112001</v>
      </c>
      <c r="AD83" s="12">
        <v>1.0002073920825001</v>
      </c>
      <c r="AE83" s="23">
        <v>2.8699562786248398</v>
      </c>
      <c r="AF83" s="1"/>
      <c r="AH83" s="22">
        <f t="shared" si="37"/>
        <v>1.2113992202487778</v>
      </c>
      <c r="AI83" s="12">
        <f t="shared" si="38"/>
        <v>1.2100147639970649</v>
      </c>
      <c r="AJ83" s="12">
        <f t="shared" si="39"/>
        <v>3.7052444511309929E-2</v>
      </c>
      <c r="AK83" s="12">
        <f t="shared" si="40"/>
        <v>6.4946251784393921E-3</v>
      </c>
      <c r="AL83" s="12">
        <f t="shared" si="41"/>
        <v>1.2370606065911607</v>
      </c>
      <c r="AM83" s="12">
        <f t="shared" si="42"/>
        <v>0.17117662730957181</v>
      </c>
      <c r="AN83" s="12">
        <f t="shared" si="43"/>
        <v>1.0045542588124523</v>
      </c>
      <c r="AO83" s="12">
        <f t="shared" si="44"/>
        <v>9.8364274833301957E-2</v>
      </c>
      <c r="AP83" s="12">
        <f t="shared" si="45"/>
        <v>0.23964997907847638</v>
      </c>
      <c r="AQ83" s="12">
        <f t="shared" si="46"/>
        <v>6.9237168848903088E-2</v>
      </c>
      <c r="AR83" s="23">
        <f t="shared" si="47"/>
        <v>0.19866644560424085</v>
      </c>
    </row>
    <row r="84" spans="1:44" ht="15.75" customHeight="1">
      <c r="A84" s="30" t="s">
        <v>259</v>
      </c>
      <c r="B84" s="30">
        <v>79</v>
      </c>
      <c r="C84" s="7" t="s">
        <v>260</v>
      </c>
      <c r="D84" s="4" t="s">
        <v>143</v>
      </c>
      <c r="E84" s="9">
        <v>45825</v>
      </c>
      <c r="F84" s="7" t="s">
        <v>220</v>
      </c>
      <c r="G84" s="7" t="s">
        <v>39</v>
      </c>
      <c r="H84" s="6">
        <v>274.10000000000002</v>
      </c>
      <c r="I84" s="6">
        <v>249.97</v>
      </c>
      <c r="J84" s="6" t="s">
        <v>95</v>
      </c>
      <c r="K84" s="8">
        <v>2.6</v>
      </c>
      <c r="L84" s="8">
        <v>10</v>
      </c>
      <c r="M84" s="8">
        <v>9.75</v>
      </c>
      <c r="N84" s="1">
        <f t="shared" si="32"/>
        <v>7.15</v>
      </c>
      <c r="O84" s="1">
        <f t="shared" si="33"/>
        <v>2.8499999999999996</v>
      </c>
      <c r="P84" s="1">
        <f t="shared" si="34"/>
        <v>0.39860139860139854</v>
      </c>
      <c r="Q84" s="1">
        <f t="shared" si="35"/>
        <v>150.3316083916084</v>
      </c>
      <c r="R84" s="8">
        <v>20.02</v>
      </c>
      <c r="S84" s="1">
        <f t="shared" si="36"/>
        <v>12.040000000000001</v>
      </c>
      <c r="T84" s="13">
        <v>7.0810000000000004</v>
      </c>
      <c r="U84" s="22">
        <v>14.2</v>
      </c>
      <c r="V84" s="12">
        <v>15.347</v>
      </c>
      <c r="W84" s="12">
        <v>0.42672370410766997</v>
      </c>
      <c r="X84" s="12">
        <v>4.77842021829206E-2</v>
      </c>
      <c r="Y84" s="12">
        <v>11.801424519233642</v>
      </c>
      <c r="Z84" s="12">
        <v>1.684841509513928</v>
      </c>
      <c r="AA84" s="12">
        <v>9.37112268585898</v>
      </c>
      <c r="AB84" s="12">
        <v>1.052300574283078</v>
      </c>
      <c r="AC84" s="12">
        <v>5.3919101372871401</v>
      </c>
      <c r="AD84" s="12">
        <v>1.5479589420020301</v>
      </c>
      <c r="AE84" s="23">
        <v>3.3960167154077001</v>
      </c>
      <c r="AF84" s="1"/>
      <c r="AH84" s="22">
        <f t="shared" si="37"/>
        <v>1.1794019933554816</v>
      </c>
      <c r="AI84" s="12">
        <f t="shared" si="38"/>
        <v>1.2746677740863785</v>
      </c>
      <c r="AJ84" s="12">
        <f t="shared" si="39"/>
        <v>3.5442168115254975E-2</v>
      </c>
      <c r="AK84" s="12">
        <f t="shared" si="40"/>
        <v>3.9687875567209797E-3</v>
      </c>
      <c r="AL84" s="12">
        <f t="shared" si="41"/>
        <v>0.9801847607336911</v>
      </c>
      <c r="AM84" s="12">
        <f t="shared" si="42"/>
        <v>0.1399370024513229</v>
      </c>
      <c r="AN84" s="12">
        <f t="shared" si="43"/>
        <v>0.77833244899160958</v>
      </c>
      <c r="AO84" s="12">
        <f t="shared" si="44"/>
        <v>8.7400379923843682E-2</v>
      </c>
      <c r="AP84" s="12">
        <f t="shared" si="45"/>
        <v>0.44783306788099164</v>
      </c>
      <c r="AQ84" s="12">
        <f t="shared" si="46"/>
        <v>0.1285680184387068</v>
      </c>
      <c r="AR84" s="23">
        <f t="shared" si="47"/>
        <v>0.2820611889873505</v>
      </c>
    </row>
    <row r="85" spans="1:44" ht="15.75" customHeight="1">
      <c r="A85" s="30" t="s">
        <v>261</v>
      </c>
      <c r="B85" s="30">
        <v>80</v>
      </c>
      <c r="C85" s="7" t="s">
        <v>262</v>
      </c>
      <c r="D85" s="4" t="s">
        <v>143</v>
      </c>
      <c r="E85" s="4"/>
      <c r="F85" s="7" t="s">
        <v>220</v>
      </c>
      <c r="G85" s="7" t="s">
        <v>39</v>
      </c>
      <c r="H85" s="6">
        <v>365</v>
      </c>
      <c r="I85" s="6">
        <v>358.24</v>
      </c>
      <c r="J85" s="6" t="s">
        <v>153</v>
      </c>
      <c r="K85" s="8">
        <v>2.59</v>
      </c>
      <c r="L85" s="8">
        <v>10.01</v>
      </c>
      <c r="M85" s="8">
        <v>11.53</v>
      </c>
      <c r="N85" s="1">
        <f t="shared" si="32"/>
        <v>8.94</v>
      </c>
      <c r="O85" s="1">
        <f t="shared" si="33"/>
        <v>1.0700000000000003</v>
      </c>
      <c r="P85" s="1">
        <f t="shared" si="34"/>
        <v>0.11968680089485463</v>
      </c>
      <c r="Q85" s="1">
        <f t="shared" si="35"/>
        <v>315.3634004474273</v>
      </c>
      <c r="R85" s="8">
        <v>20</v>
      </c>
      <c r="S85" s="1">
        <f t="shared" si="36"/>
        <v>17.606263982102909</v>
      </c>
      <c r="T85" s="13">
        <v>6.8959999999999999</v>
      </c>
      <c r="U85" s="22">
        <v>22.5</v>
      </c>
      <c r="V85" s="12">
        <v>12.192</v>
      </c>
      <c r="W85" s="12">
        <v>0.42995692932640395</v>
      </c>
      <c r="X85" s="12">
        <v>4.0329341842576194E-2</v>
      </c>
      <c r="Y85" s="12">
        <v>10.94100252049174</v>
      </c>
      <c r="Z85" s="12">
        <v>1.1193819586668061</v>
      </c>
      <c r="AA85" s="12">
        <v>9.8780841353053592</v>
      </c>
      <c r="AB85" s="12">
        <v>1.5960992946899162</v>
      </c>
      <c r="AC85" s="12">
        <v>2.8903865634605803</v>
      </c>
      <c r="AD85" s="12">
        <v>0.82474875477135001</v>
      </c>
      <c r="AE85" s="23">
        <v>2.6165577231985901</v>
      </c>
      <c r="AF85" s="1"/>
      <c r="AH85" s="22">
        <f t="shared" si="37"/>
        <v>1.2779542566709021</v>
      </c>
      <c r="AI85" s="12">
        <f t="shared" si="38"/>
        <v>0.69248081321473953</v>
      </c>
      <c r="AJ85" s="12">
        <f t="shared" si="39"/>
        <v>2.4420679467459027E-2</v>
      </c>
      <c r="AK85" s="12">
        <f t="shared" si="40"/>
        <v>2.2906246256202741E-3</v>
      </c>
      <c r="AL85" s="12">
        <f t="shared" si="41"/>
        <v>0.62142669970264386</v>
      </c>
      <c r="AM85" s="12">
        <f t="shared" si="42"/>
        <v>6.3578619507504736E-2</v>
      </c>
      <c r="AN85" s="12">
        <f t="shared" si="43"/>
        <v>0.5610550963763018</v>
      </c>
      <c r="AO85" s="12">
        <f t="shared" si="44"/>
        <v>9.0655195009706799E-2</v>
      </c>
      <c r="AP85" s="12">
        <f t="shared" si="45"/>
        <v>0.16416808054217019</v>
      </c>
      <c r="AQ85" s="12">
        <f t="shared" si="46"/>
        <v>4.6844052526403231E-2</v>
      </c>
      <c r="AR85" s="23">
        <f t="shared" si="47"/>
        <v>0.14861515911941164</v>
      </c>
    </row>
    <row r="86" spans="1:44" ht="15.75" customHeight="1">
      <c r="A86" s="30" t="s">
        <v>263</v>
      </c>
      <c r="B86" s="30">
        <v>81</v>
      </c>
      <c r="C86" s="7" t="s">
        <v>264</v>
      </c>
      <c r="D86" s="4" t="s">
        <v>143</v>
      </c>
      <c r="E86" s="9">
        <v>45826</v>
      </c>
      <c r="F86" s="7" t="s">
        <v>220</v>
      </c>
      <c r="G86" s="7" t="s">
        <v>39</v>
      </c>
      <c r="H86" s="6">
        <v>335.84</v>
      </c>
      <c r="I86" s="6">
        <v>300.88</v>
      </c>
      <c r="J86" s="6" t="s">
        <v>88</v>
      </c>
      <c r="K86" s="8">
        <v>2.59</v>
      </c>
      <c r="L86" s="8">
        <v>10</v>
      </c>
      <c r="M86" s="8">
        <v>10.33</v>
      </c>
      <c r="N86" s="1">
        <f t="shared" si="32"/>
        <v>7.74</v>
      </c>
      <c r="O86" s="1">
        <f t="shared" si="33"/>
        <v>2.2599999999999998</v>
      </c>
      <c r="P86" s="1">
        <f t="shared" si="34"/>
        <v>0.29198966408268728</v>
      </c>
      <c r="Q86" s="1">
        <f t="shared" si="35"/>
        <v>213.02614987080102</v>
      </c>
      <c r="R86" s="8">
        <v>20.010000000000002</v>
      </c>
      <c r="S86" s="1">
        <f t="shared" si="36"/>
        <v>14.167286821705428</v>
      </c>
      <c r="T86" s="13">
        <v>6.9290000000000003</v>
      </c>
      <c r="U86" s="22">
        <v>21.97</v>
      </c>
      <c r="V86" s="12">
        <v>16.41</v>
      </c>
      <c r="W86" s="12">
        <v>0.87790151991058596</v>
      </c>
      <c r="X86" s="12">
        <v>4.5562868273551396E-2</v>
      </c>
      <c r="Y86" s="12">
        <v>15.509884372020279</v>
      </c>
      <c r="Z86" s="12">
        <v>3.0705850691083199</v>
      </c>
      <c r="AA86" s="12">
        <v>7.3976102933029999</v>
      </c>
      <c r="AB86" s="12">
        <v>2.5393525720429801</v>
      </c>
      <c r="AC86" s="12">
        <v>2.1080162237266</v>
      </c>
      <c r="AD86" s="12">
        <v>1.2570883129936061</v>
      </c>
      <c r="AE86" s="23">
        <v>3.1677571709473602</v>
      </c>
      <c r="AF86" s="1"/>
      <c r="AH86" s="22">
        <f t="shared" si="37"/>
        <v>1.5507556440757722</v>
      </c>
      <c r="AI86" s="12">
        <f t="shared" si="38"/>
        <v>1.158302235743442</v>
      </c>
      <c r="AJ86" s="12">
        <f t="shared" si="39"/>
        <v>6.1966806415295402E-2</v>
      </c>
      <c r="AK86" s="12">
        <f t="shared" si="40"/>
        <v>3.2160616811784597E-3</v>
      </c>
      <c r="AL86" s="12">
        <f t="shared" si="41"/>
        <v>1.0947674432805217</v>
      </c>
      <c r="AM86" s="12">
        <f t="shared" si="42"/>
        <v>0.21673769351545388</v>
      </c>
      <c r="AN86" s="12">
        <f t="shared" si="43"/>
        <v>0.5221613980433617</v>
      </c>
      <c r="AO86" s="12">
        <f t="shared" si="44"/>
        <v>0.17924057047765043</v>
      </c>
      <c r="AP86" s="12">
        <f t="shared" si="45"/>
        <v>0.14879463162254533</v>
      </c>
      <c r="AQ86" s="12">
        <f t="shared" si="46"/>
        <v>8.8731761332568299E-2</v>
      </c>
      <c r="AR86" s="23">
        <f t="shared" si="47"/>
        <v>0.22359660045098403</v>
      </c>
    </row>
    <row r="87" spans="1:44" ht="15.75" customHeight="1">
      <c r="A87" s="30" t="s">
        <v>265</v>
      </c>
      <c r="B87" s="30">
        <v>82</v>
      </c>
      <c r="C87" s="7" t="s">
        <v>266</v>
      </c>
      <c r="D87" s="4" t="s">
        <v>143</v>
      </c>
      <c r="E87" s="9">
        <v>45820</v>
      </c>
      <c r="F87" s="7" t="s">
        <v>220</v>
      </c>
      <c r="G87" s="7" t="s">
        <v>39</v>
      </c>
      <c r="H87" s="6">
        <v>283.48</v>
      </c>
      <c r="I87" s="6">
        <v>259.73</v>
      </c>
      <c r="J87" s="6" t="s">
        <v>177</v>
      </c>
      <c r="K87" s="8">
        <v>2.57</v>
      </c>
      <c r="L87" s="8">
        <v>10.01</v>
      </c>
      <c r="M87" s="8">
        <v>10.99</v>
      </c>
      <c r="N87" s="1">
        <f t="shared" si="32"/>
        <v>8.42</v>
      </c>
      <c r="O87" s="1">
        <f t="shared" si="33"/>
        <v>1.5899999999999999</v>
      </c>
      <c r="P87" s="1">
        <f t="shared" si="34"/>
        <v>0.18883610451306412</v>
      </c>
      <c r="Q87" s="1">
        <f t="shared" si="35"/>
        <v>210.68359857482187</v>
      </c>
      <c r="R87" s="8">
        <v>20.010000000000002</v>
      </c>
      <c r="S87" s="1">
        <f t="shared" si="36"/>
        <v>16.231389548693588</v>
      </c>
      <c r="T87" s="13">
        <v>6.8879999999999999</v>
      </c>
      <c r="U87" s="22">
        <v>15.26</v>
      </c>
      <c r="V87" s="12">
        <v>14.65</v>
      </c>
      <c r="W87" s="12">
        <v>0.37468261046319595</v>
      </c>
      <c r="X87" s="12">
        <v>5.91246354924976E-2</v>
      </c>
      <c r="Y87" s="12">
        <v>15.18545327170866</v>
      </c>
      <c r="Z87" s="12">
        <v>1.6891730749570999</v>
      </c>
      <c r="AA87" s="12">
        <v>15.896015925654201</v>
      </c>
      <c r="AB87" s="12">
        <v>0.59351567985583198</v>
      </c>
      <c r="AC87" s="12">
        <v>2.9719982601452002</v>
      </c>
      <c r="AD87" s="12">
        <v>2.1840258007158</v>
      </c>
      <c r="AE87" s="23">
        <v>3.2184970220419</v>
      </c>
      <c r="AF87" s="1"/>
      <c r="AH87" s="22">
        <f t="shared" si="37"/>
        <v>0.94015364206622887</v>
      </c>
      <c r="AI87" s="12">
        <f t="shared" si="38"/>
        <v>0.90257213999149755</v>
      </c>
      <c r="AJ87" s="12">
        <f t="shared" si="39"/>
        <v>2.3083828364734979E-2</v>
      </c>
      <c r="AK87" s="12">
        <f t="shared" si="40"/>
        <v>3.6426108384082466E-3</v>
      </c>
      <c r="AL87" s="12">
        <f t="shared" si="41"/>
        <v>0.9355608912073019</v>
      </c>
      <c r="AM87" s="12">
        <f t="shared" si="42"/>
        <v>0.10406829741160738</v>
      </c>
      <c r="AN87" s="12">
        <f t="shared" si="43"/>
        <v>0.97933795981956573</v>
      </c>
      <c r="AO87" s="12">
        <f t="shared" si="44"/>
        <v>3.6565919268668041E-2</v>
      </c>
      <c r="AP87" s="12">
        <f t="shared" si="45"/>
        <v>0.18310189963892565</v>
      </c>
      <c r="AQ87" s="12">
        <f t="shared" si="46"/>
        <v>0.13455568878830743</v>
      </c>
      <c r="AR87" s="23">
        <f t="shared" si="47"/>
        <v>0.19828844673997406</v>
      </c>
    </row>
    <row r="88" spans="1:44" ht="15.75" customHeight="1">
      <c r="A88" s="30" t="s">
        <v>267</v>
      </c>
      <c r="B88" s="30">
        <v>83</v>
      </c>
      <c r="C88" s="7" t="s">
        <v>268</v>
      </c>
      <c r="D88" s="4" t="s">
        <v>143</v>
      </c>
      <c r="E88" s="9">
        <v>45831</v>
      </c>
      <c r="F88" s="7" t="s">
        <v>220</v>
      </c>
      <c r="G88" s="7" t="s">
        <v>39</v>
      </c>
      <c r="H88" s="6">
        <v>527.09</v>
      </c>
      <c r="I88" s="6">
        <v>497.2</v>
      </c>
      <c r="J88" s="6" t="s">
        <v>269</v>
      </c>
      <c r="K88" s="8">
        <v>2.57</v>
      </c>
      <c r="L88" s="8">
        <v>10</v>
      </c>
      <c r="M88" s="8">
        <v>10.8</v>
      </c>
      <c r="N88" s="1">
        <f t="shared" si="32"/>
        <v>8.23</v>
      </c>
      <c r="O88" s="1">
        <f t="shared" si="33"/>
        <v>1.7699999999999996</v>
      </c>
      <c r="P88" s="1">
        <f t="shared" si="34"/>
        <v>0.21506682867557708</v>
      </c>
      <c r="Q88" s="1">
        <f t="shared" si="35"/>
        <v>390.26877278250311</v>
      </c>
      <c r="R88" s="8">
        <v>20</v>
      </c>
      <c r="S88" s="1">
        <f t="shared" si="36"/>
        <v>15.698663426488459</v>
      </c>
      <c r="T88" s="13">
        <v>6.8780000000000001</v>
      </c>
      <c r="U88" s="22">
        <v>14.39</v>
      </c>
      <c r="V88" s="12">
        <v>14.5</v>
      </c>
      <c r="W88" s="12">
        <v>0.71216412643393001</v>
      </c>
      <c r="X88" s="12">
        <v>8.9412837859121991E-2</v>
      </c>
      <c r="Y88" s="12">
        <v>12.22775750901282</v>
      </c>
      <c r="Z88" s="12">
        <v>1.60411041065108</v>
      </c>
      <c r="AA88" s="12">
        <v>8.3658231266859993</v>
      </c>
      <c r="AB88" s="12">
        <v>0.86411468766944</v>
      </c>
      <c r="AC88" s="12">
        <v>1.2821054720489999</v>
      </c>
      <c r="AD88" s="12">
        <v>2.1158250833711998</v>
      </c>
      <c r="AE88" s="23">
        <v>3.08679210500304</v>
      </c>
      <c r="AF88" s="1"/>
      <c r="AH88" s="22">
        <f t="shared" si="37"/>
        <v>0.91663854489164076</v>
      </c>
      <c r="AI88" s="12">
        <f t="shared" si="38"/>
        <v>0.92364551083591317</v>
      </c>
      <c r="AJ88" s="12">
        <f t="shared" si="39"/>
        <v>4.5364634369591664E-2</v>
      </c>
      <c r="AK88" s="12">
        <f t="shared" si="40"/>
        <v>5.6955700896329248E-3</v>
      </c>
      <c r="AL88" s="12">
        <f t="shared" si="41"/>
        <v>0.77890436764067716</v>
      </c>
      <c r="AM88" s="12">
        <f t="shared" si="42"/>
        <v>0.10218133652986368</v>
      </c>
      <c r="AN88" s="12">
        <f t="shared" si="43"/>
        <v>0.53290034313177836</v>
      </c>
      <c r="AO88" s="12">
        <f t="shared" si="44"/>
        <v>5.5043838076776243E-2</v>
      </c>
      <c r="AP88" s="12">
        <f t="shared" si="45"/>
        <v>8.166972163284264E-2</v>
      </c>
      <c r="AQ88" s="12">
        <f t="shared" si="46"/>
        <v>0.13477740275654004</v>
      </c>
      <c r="AR88" s="23">
        <f t="shared" si="47"/>
        <v>0.19662770142550323</v>
      </c>
    </row>
    <row r="89" spans="1:44" ht="15.75" customHeight="1">
      <c r="A89" s="30" t="s">
        <v>270</v>
      </c>
      <c r="B89" s="30">
        <v>84</v>
      </c>
      <c r="C89" s="7" t="s">
        <v>271</v>
      </c>
      <c r="D89" s="4" t="s">
        <v>143</v>
      </c>
      <c r="E89" s="9">
        <v>45825</v>
      </c>
      <c r="F89" s="7" t="s">
        <v>220</v>
      </c>
      <c r="G89" s="7" t="s">
        <v>39</v>
      </c>
      <c r="H89" s="6">
        <v>323.29000000000002</v>
      </c>
      <c r="I89" s="6">
        <v>283.62</v>
      </c>
      <c r="J89" s="6" t="s">
        <v>272</v>
      </c>
      <c r="K89" s="8">
        <v>1.02</v>
      </c>
      <c r="L89" s="8">
        <v>10.029999999999999</v>
      </c>
      <c r="M89" s="8">
        <v>10.76</v>
      </c>
      <c r="N89" s="1">
        <f t="shared" si="32"/>
        <v>9.74</v>
      </c>
      <c r="O89" s="1">
        <f t="shared" si="33"/>
        <v>0.28999999999999915</v>
      </c>
      <c r="P89" s="1">
        <f t="shared" si="34"/>
        <v>2.9774127310061512E-2</v>
      </c>
      <c r="Q89" s="1">
        <f t="shared" si="35"/>
        <v>275.17546201232039</v>
      </c>
      <c r="R89" s="8">
        <v>20</v>
      </c>
      <c r="S89" s="1">
        <f t="shared" si="36"/>
        <v>19.404517453798771</v>
      </c>
      <c r="T89" s="13">
        <v>7.0910000000000002</v>
      </c>
      <c r="U89" s="22">
        <v>17.34</v>
      </c>
      <c r="V89" s="12">
        <v>17.13</v>
      </c>
      <c r="W89" s="12">
        <v>0.93067000188306004</v>
      </c>
      <c r="X89" s="12">
        <v>0.19355127984844681</v>
      </c>
      <c r="Y89" s="12">
        <v>10.396439737216681</v>
      </c>
      <c r="Z89" s="12">
        <v>2.0938184131631998</v>
      </c>
      <c r="AA89" s="12">
        <v>10.637384543502799</v>
      </c>
      <c r="AB89" s="12">
        <v>0.61353015009324596</v>
      </c>
      <c r="AC89" s="12">
        <v>1.7218865202831799</v>
      </c>
      <c r="AD89" s="12">
        <v>1.5046375742014</v>
      </c>
      <c r="AE89" s="23">
        <v>5.00445290637228</v>
      </c>
      <c r="AF89" s="1"/>
      <c r="AH89" s="22">
        <f t="shared" si="37"/>
        <v>0.89360634920634907</v>
      </c>
      <c r="AI89" s="12">
        <f t="shared" si="38"/>
        <v>0.88278412698412678</v>
      </c>
      <c r="AJ89" s="12">
        <f t="shared" si="39"/>
        <v>4.7961512266354513E-2</v>
      </c>
      <c r="AK89" s="12">
        <f t="shared" si="40"/>
        <v>9.9745474376924416E-3</v>
      </c>
      <c r="AL89" s="12">
        <f t="shared" si="41"/>
        <v>0.53577419598143106</v>
      </c>
      <c r="AM89" s="12">
        <f t="shared" si="42"/>
        <v>0.1079036579058707</v>
      </c>
      <c r="AN89" s="12">
        <f t="shared" si="43"/>
        <v>0.54819113996675795</v>
      </c>
      <c r="AO89" s="12">
        <f t="shared" si="44"/>
        <v>3.1617902973059338E-2</v>
      </c>
      <c r="AP89" s="12">
        <f t="shared" si="45"/>
        <v>8.873637411406439E-2</v>
      </c>
      <c r="AQ89" s="12">
        <f t="shared" si="46"/>
        <v>7.7540581866252026E-2</v>
      </c>
      <c r="AR89" s="23">
        <f t="shared" si="47"/>
        <v>0.25790143549241268</v>
      </c>
    </row>
    <row r="90" spans="1:44" ht="15.75" customHeight="1">
      <c r="A90" s="30" t="s">
        <v>273</v>
      </c>
      <c r="B90" s="30">
        <v>85</v>
      </c>
      <c r="C90" s="7" t="s">
        <v>274</v>
      </c>
      <c r="D90" s="4" t="s">
        <v>143</v>
      </c>
      <c r="E90" s="10">
        <v>45825</v>
      </c>
      <c r="F90" s="7" t="s">
        <v>220</v>
      </c>
      <c r="G90" s="5" t="s">
        <v>165</v>
      </c>
      <c r="H90" s="6">
        <v>230.29</v>
      </c>
      <c r="I90" s="6">
        <v>273.91000000000003</v>
      </c>
      <c r="J90" s="6" t="s">
        <v>275</v>
      </c>
      <c r="K90" s="8">
        <v>2.56</v>
      </c>
      <c r="L90" s="8">
        <v>10</v>
      </c>
      <c r="M90" s="8">
        <v>11.69</v>
      </c>
      <c r="N90" s="1">
        <f t="shared" si="32"/>
        <v>9.129999999999999</v>
      </c>
      <c r="O90" s="1">
        <f t="shared" si="33"/>
        <v>0.87000000000000099</v>
      </c>
      <c r="P90" s="1">
        <f t="shared" si="34"/>
        <v>9.5290251916758065E-2</v>
      </c>
      <c r="Q90" s="1">
        <f t="shared" si="35"/>
        <v>247.8090470974808</v>
      </c>
      <c r="R90" s="8">
        <v>20</v>
      </c>
      <c r="S90" s="1">
        <f t="shared" si="36"/>
        <v>18.094194961664837</v>
      </c>
      <c r="T90" s="13">
        <v>7.0659999999999998</v>
      </c>
      <c r="U90" s="22">
        <v>29.87</v>
      </c>
      <c r="V90" s="12">
        <v>25.95</v>
      </c>
      <c r="W90" s="12">
        <v>0.47006588647228198</v>
      </c>
      <c r="X90" s="12">
        <v>0.561448287046172</v>
      </c>
      <c r="Y90" s="12">
        <v>10.003315757651521</v>
      </c>
      <c r="Z90" s="12">
        <v>6.6811268723696804</v>
      </c>
      <c r="AA90" s="12">
        <v>51.965143233684202</v>
      </c>
      <c r="AB90" s="12">
        <v>0.71552755349321207</v>
      </c>
      <c r="AC90" s="12">
        <v>52.896401690681003</v>
      </c>
      <c r="AD90" s="12">
        <v>3.7635172130557599</v>
      </c>
      <c r="AE90" s="23">
        <v>10.28437890089422</v>
      </c>
      <c r="AF90" s="1"/>
      <c r="AH90" s="22">
        <f t="shared" si="37"/>
        <v>1.6508056900726398</v>
      </c>
      <c r="AI90" s="12">
        <f t="shared" si="38"/>
        <v>1.4341616222760294</v>
      </c>
      <c r="AJ90" s="12">
        <f t="shared" si="39"/>
        <v>2.5978822902493558E-2</v>
      </c>
      <c r="AK90" s="12">
        <f t="shared" si="40"/>
        <v>3.1029194072224889E-2</v>
      </c>
      <c r="AL90" s="12">
        <f t="shared" si="41"/>
        <v>0.55284668805907022</v>
      </c>
      <c r="AM90" s="12">
        <f t="shared" si="42"/>
        <v>0.36924145487127846</v>
      </c>
      <c r="AN90" s="12">
        <f t="shared" si="43"/>
        <v>2.8719234729027656</v>
      </c>
      <c r="AO90" s="12">
        <f t="shared" si="44"/>
        <v>3.9544591788093386E-2</v>
      </c>
      <c r="AP90" s="12">
        <f t="shared" si="45"/>
        <v>2.9233907229777101</v>
      </c>
      <c r="AQ90" s="12">
        <f t="shared" si="46"/>
        <v>0.20799583629055143</v>
      </c>
      <c r="AR90" s="23">
        <f t="shared" si="47"/>
        <v>0.56838002037024371</v>
      </c>
    </row>
    <row r="91" spans="1:44" ht="15.75" customHeight="1">
      <c r="A91" s="30" t="s">
        <v>276</v>
      </c>
      <c r="B91" s="30">
        <v>86</v>
      </c>
      <c r="C91" s="7" t="s">
        <v>277</v>
      </c>
      <c r="D91" s="4" t="s">
        <v>143</v>
      </c>
      <c r="E91" s="10">
        <v>45832</v>
      </c>
      <c r="F91" s="7" t="s">
        <v>220</v>
      </c>
      <c r="G91" s="5" t="s">
        <v>165</v>
      </c>
      <c r="H91" s="6">
        <v>207.04</v>
      </c>
      <c r="I91" s="6">
        <v>182.45</v>
      </c>
      <c r="J91" s="6" t="s">
        <v>278</v>
      </c>
      <c r="K91" s="8">
        <v>2.59</v>
      </c>
      <c r="L91" s="8">
        <v>10.01</v>
      </c>
      <c r="M91" s="8">
        <v>12.41</v>
      </c>
      <c r="N91" s="1">
        <f t="shared" si="32"/>
        <v>9.82</v>
      </c>
      <c r="O91" s="1">
        <f t="shared" si="33"/>
        <v>0.1899999999999995</v>
      </c>
      <c r="P91" s="1">
        <f t="shared" si="34"/>
        <v>1.9348268839103819E-2</v>
      </c>
      <c r="Q91" s="1">
        <f t="shared" si="35"/>
        <v>178.91990835030549</v>
      </c>
      <c r="R91" s="8">
        <v>20.010000000000002</v>
      </c>
      <c r="S91" s="1">
        <f t="shared" si="36"/>
        <v>19.622841140529534</v>
      </c>
      <c r="T91" s="13">
        <v>7.77</v>
      </c>
      <c r="U91" s="22">
        <v>30.17</v>
      </c>
      <c r="V91" s="12">
        <v>18.398</v>
      </c>
      <c r="W91" s="12">
        <v>0.43492269823927798</v>
      </c>
      <c r="X91" s="12">
        <v>0.57295883170766404</v>
      </c>
      <c r="Y91" s="12">
        <v>13.572515478472621</v>
      </c>
      <c r="Z91" s="12">
        <v>10.27750655266532</v>
      </c>
      <c r="AA91" s="12">
        <v>50.460330692115804</v>
      </c>
      <c r="AB91" s="12">
        <v>0.63350292203449798</v>
      </c>
      <c r="AC91" s="12">
        <v>30.5693562919957</v>
      </c>
      <c r="AD91" s="12">
        <v>4.9102211324527198</v>
      </c>
      <c r="AE91" s="23">
        <v>13.9405427122242</v>
      </c>
      <c r="AF91" s="1"/>
      <c r="AH91" s="22">
        <f t="shared" si="37"/>
        <v>1.5374939736777509</v>
      </c>
      <c r="AI91" s="12">
        <f t="shared" si="38"/>
        <v>0.93758084612937542</v>
      </c>
      <c r="AJ91" s="12">
        <f t="shared" si="39"/>
        <v>2.2164104327429792E-2</v>
      </c>
      <c r="AK91" s="12">
        <f t="shared" si="40"/>
        <v>2.919856648710567E-2</v>
      </c>
      <c r="AL91" s="12">
        <f t="shared" si="41"/>
        <v>0.69166923287370397</v>
      </c>
      <c r="AM91" s="12">
        <f t="shared" si="42"/>
        <v>0.52375221707512509</v>
      </c>
      <c r="AN91" s="12">
        <f t="shared" si="43"/>
        <v>2.5715099220720745</v>
      </c>
      <c r="AO91" s="12">
        <f t="shared" si="44"/>
        <v>3.2283955085690638E-2</v>
      </c>
      <c r="AP91" s="12">
        <f t="shared" si="45"/>
        <v>1.557845577664946</v>
      </c>
      <c r="AQ91" s="12">
        <f t="shared" si="46"/>
        <v>0.25022987738055014</v>
      </c>
      <c r="AR91" s="23">
        <f t="shared" si="47"/>
        <v>0.71042427609685099</v>
      </c>
    </row>
    <row r="92" spans="1:44" ht="15.75" customHeight="1">
      <c r="A92" s="30" t="s">
        <v>279</v>
      </c>
      <c r="B92" s="30">
        <v>87</v>
      </c>
      <c r="C92" s="7" t="s">
        <v>280</v>
      </c>
      <c r="D92" s="4" t="s">
        <v>143</v>
      </c>
      <c r="E92" s="10">
        <v>45824</v>
      </c>
      <c r="F92" s="7" t="s">
        <v>220</v>
      </c>
      <c r="G92" s="5" t="s">
        <v>165</v>
      </c>
      <c r="H92" s="6">
        <v>282.32</v>
      </c>
      <c r="I92" s="6">
        <v>267.02999999999997</v>
      </c>
      <c r="J92" s="6" t="s">
        <v>281</v>
      </c>
      <c r="K92" s="8">
        <v>0.96</v>
      </c>
      <c r="L92" s="8">
        <v>10.01</v>
      </c>
      <c r="M92" s="8">
        <v>9.49</v>
      </c>
      <c r="N92" s="1">
        <f t="shared" si="32"/>
        <v>8.5300000000000011</v>
      </c>
      <c r="O92" s="1">
        <f t="shared" si="33"/>
        <v>1.4799999999999986</v>
      </c>
      <c r="P92" s="1">
        <f t="shared" si="34"/>
        <v>0.17350527549824132</v>
      </c>
      <c r="Q92" s="1">
        <f t="shared" si="35"/>
        <v>220.69888628370458</v>
      </c>
      <c r="R92" s="8">
        <v>20.03</v>
      </c>
      <c r="S92" s="1">
        <f t="shared" si="36"/>
        <v>16.554689331770227</v>
      </c>
      <c r="T92" s="13">
        <v>7.6479999999999997</v>
      </c>
      <c r="U92" s="22">
        <v>24.42</v>
      </c>
      <c r="V92" s="12">
        <v>22.85</v>
      </c>
      <c r="W92" s="12">
        <v>0.30138640387828802</v>
      </c>
      <c r="X92" s="12">
        <v>0.54986469704843799</v>
      </c>
      <c r="Y92" s="12">
        <v>8.6550445038374395</v>
      </c>
      <c r="Z92" s="12">
        <v>7.9473101370063404</v>
      </c>
      <c r="AA92" s="12">
        <v>34.565095854458399</v>
      </c>
      <c r="AB92" s="12">
        <v>0.52620701783039592</v>
      </c>
      <c r="AC92" s="12">
        <v>46.896988012917802</v>
      </c>
      <c r="AD92" s="12">
        <v>5.0818387082456002</v>
      </c>
      <c r="AE92" s="23">
        <v>13.6129219656545</v>
      </c>
      <c r="AF92" s="1"/>
      <c r="AH92" s="22">
        <f t="shared" si="37"/>
        <v>1.4751107381480968</v>
      </c>
      <c r="AI92" s="12">
        <f t="shared" si="38"/>
        <v>1.3802735612892716</v>
      </c>
      <c r="AJ92" s="12">
        <f t="shared" si="39"/>
        <v>1.8205500437866576E-2</v>
      </c>
      <c r="AK92" s="12">
        <f t="shared" si="40"/>
        <v>3.3215041734017237E-2</v>
      </c>
      <c r="AL92" s="12">
        <f t="shared" si="41"/>
        <v>0.52281527791811111</v>
      </c>
      <c r="AM92" s="12">
        <f t="shared" si="42"/>
        <v>0.480063985360003</v>
      </c>
      <c r="AN92" s="12">
        <f t="shared" si="43"/>
        <v>2.0879338271920491</v>
      </c>
      <c r="AO92" s="12">
        <f t="shared" si="44"/>
        <v>3.1785979626965763E-2</v>
      </c>
      <c r="AP92" s="12">
        <f t="shared" si="45"/>
        <v>2.8328521951129244</v>
      </c>
      <c r="AQ92" s="12">
        <f t="shared" si="46"/>
        <v>0.30697276200121776</v>
      </c>
      <c r="AR92" s="23">
        <f t="shared" si="47"/>
        <v>0.82230005606507162</v>
      </c>
    </row>
    <row r="93" spans="1:44" ht="15.75" customHeight="1">
      <c r="A93" s="30" t="s">
        <v>282</v>
      </c>
      <c r="B93" s="30">
        <v>88</v>
      </c>
      <c r="C93" s="7" t="s">
        <v>283</v>
      </c>
      <c r="D93" s="4" t="s">
        <v>143</v>
      </c>
      <c r="E93" s="10">
        <v>45824</v>
      </c>
      <c r="F93" s="7" t="s">
        <v>220</v>
      </c>
      <c r="G93" s="5" t="s">
        <v>165</v>
      </c>
      <c r="H93" s="6">
        <v>292.27</v>
      </c>
      <c r="I93" s="6">
        <v>267.2</v>
      </c>
      <c r="J93" s="6" t="s">
        <v>284</v>
      </c>
      <c r="K93" s="8">
        <v>2.36</v>
      </c>
      <c r="L93" s="8">
        <v>10.02</v>
      </c>
      <c r="M93" s="8">
        <v>11.43</v>
      </c>
      <c r="N93" s="1">
        <f t="shared" si="32"/>
        <v>9.07</v>
      </c>
      <c r="O93" s="1">
        <f t="shared" si="33"/>
        <v>0.94999999999999929</v>
      </c>
      <c r="P93" s="1">
        <f t="shared" si="34"/>
        <v>0.1047409040793825</v>
      </c>
      <c r="Q93" s="1">
        <f t="shared" si="35"/>
        <v>239.21323042998898</v>
      </c>
      <c r="R93" s="8">
        <v>20.02</v>
      </c>
      <c r="S93" s="1">
        <f t="shared" si="36"/>
        <v>17.923087100330761</v>
      </c>
      <c r="T93" s="13">
        <v>7.9770000000000003</v>
      </c>
      <c r="U93" s="22">
        <v>25.07</v>
      </c>
      <c r="V93" s="12">
        <v>21.27</v>
      </c>
      <c r="W93" s="12">
        <v>0.504852502322648</v>
      </c>
      <c r="X93" s="12">
        <v>0.60902158054608002</v>
      </c>
      <c r="Y93" s="12">
        <v>9.9169166829372397</v>
      </c>
      <c r="Z93" s="12">
        <v>6.3864522351910002</v>
      </c>
      <c r="AA93" s="12">
        <v>34.3892172120566</v>
      </c>
      <c r="AB93" s="12">
        <v>0.607398630127582</v>
      </c>
      <c r="AC93" s="12">
        <v>41.862572297929603</v>
      </c>
      <c r="AD93" s="12">
        <v>6.5094000000000003</v>
      </c>
      <c r="AE93" s="23">
        <v>10.661451584580901</v>
      </c>
      <c r="AF93" s="1"/>
      <c r="AH93" s="22">
        <f t="shared" si="37"/>
        <v>1.3987545705526001</v>
      </c>
      <c r="AI93" s="12">
        <f t="shared" si="38"/>
        <v>1.1867375235601836</v>
      </c>
      <c r="AJ93" s="12">
        <f t="shared" si="39"/>
        <v>2.8167720186626288E-2</v>
      </c>
      <c r="AK93" s="12">
        <f t="shared" si="40"/>
        <v>3.3979725542640525E-2</v>
      </c>
      <c r="AL93" s="12">
        <f t="shared" si="41"/>
        <v>0.5533040501016272</v>
      </c>
      <c r="AM93" s="12">
        <f t="shared" si="42"/>
        <v>0.35632545885876665</v>
      </c>
      <c r="AN93" s="12">
        <f t="shared" si="43"/>
        <v>1.918710600442374</v>
      </c>
      <c r="AO93" s="12">
        <f t="shared" si="44"/>
        <v>3.3889174712339189E-2</v>
      </c>
      <c r="AP93" s="12">
        <f t="shared" si="45"/>
        <v>2.3356786731877821</v>
      </c>
      <c r="AQ93" s="12">
        <f t="shared" si="46"/>
        <v>0.36318520149800937</v>
      </c>
      <c r="AR93" s="23">
        <f t="shared" si="47"/>
        <v>0.59484460042512144</v>
      </c>
    </row>
    <row r="94" spans="1:44" ht="15.75" customHeight="1">
      <c r="A94" s="30" t="s">
        <v>285</v>
      </c>
      <c r="B94" s="30">
        <v>89</v>
      </c>
      <c r="C94" s="7" t="s">
        <v>286</v>
      </c>
      <c r="D94" s="4" t="s">
        <v>143</v>
      </c>
      <c r="E94" s="9">
        <v>45820</v>
      </c>
      <c r="F94" s="7" t="s">
        <v>220</v>
      </c>
      <c r="G94" s="5" t="s">
        <v>165</v>
      </c>
      <c r="H94" s="6">
        <v>387.79</v>
      </c>
      <c r="I94" s="6">
        <v>313.86</v>
      </c>
      <c r="J94" s="6" t="s">
        <v>127</v>
      </c>
      <c r="K94" s="8">
        <v>2.64</v>
      </c>
      <c r="L94" s="8">
        <v>10.02</v>
      </c>
      <c r="M94" s="8">
        <v>12.5</v>
      </c>
      <c r="N94" s="1">
        <f t="shared" si="32"/>
        <v>9.86</v>
      </c>
      <c r="O94" s="1">
        <f t="shared" si="33"/>
        <v>0.16000000000000014</v>
      </c>
      <c r="P94" s="1">
        <f t="shared" si="34"/>
        <v>1.6227180527383381E-2</v>
      </c>
      <c r="Q94" s="1">
        <f t="shared" si="35"/>
        <v>308.76693711967545</v>
      </c>
      <c r="R94" s="8">
        <v>20</v>
      </c>
      <c r="S94" s="1">
        <f t="shared" si="36"/>
        <v>19.675456389452332</v>
      </c>
      <c r="T94" s="13">
        <v>7.4329999999999998</v>
      </c>
      <c r="U94" s="22">
        <v>29.035</v>
      </c>
      <c r="V94" s="12">
        <v>22.035</v>
      </c>
      <c r="W94" s="12">
        <v>0.39020249180197597</v>
      </c>
      <c r="X94" s="12">
        <v>0.764140881963846</v>
      </c>
      <c r="Y94" s="12">
        <v>10.690625215363699</v>
      </c>
      <c r="Z94" s="12">
        <v>8.1860163923423404</v>
      </c>
      <c r="AA94" s="12">
        <v>35.278109145894398</v>
      </c>
      <c r="AB94" s="12">
        <v>0.34968883652479404</v>
      </c>
      <c r="AC94" s="12">
        <v>30.637386594368198</v>
      </c>
      <c r="AD94" s="12">
        <v>6.5352999819544397</v>
      </c>
      <c r="AE94" s="23">
        <v>12.118964921867001</v>
      </c>
      <c r="AF94" s="1"/>
      <c r="AH94" s="22">
        <f t="shared" si="37"/>
        <v>1.4756963917525774</v>
      </c>
      <c r="AI94" s="12">
        <f t="shared" si="38"/>
        <v>1.1199231958762887</v>
      </c>
      <c r="AJ94" s="12">
        <f t="shared" si="39"/>
        <v>1.9831941078182903E-2</v>
      </c>
      <c r="AK94" s="12">
        <f t="shared" si="40"/>
        <v>3.8837263382286193E-2</v>
      </c>
      <c r="AL94" s="12">
        <f t="shared" si="41"/>
        <v>0.54334827125508289</v>
      </c>
      <c r="AM94" s="12">
        <f t="shared" si="42"/>
        <v>0.41605217334276018</v>
      </c>
      <c r="AN94" s="12">
        <f t="shared" si="43"/>
        <v>1.7930008050439112</v>
      </c>
      <c r="AO94" s="12">
        <f t="shared" si="44"/>
        <v>1.7772844990383861E-2</v>
      </c>
      <c r="AP94" s="12">
        <f t="shared" si="45"/>
        <v>1.5571372774251053</v>
      </c>
      <c r="AQ94" s="12">
        <f t="shared" si="46"/>
        <v>0.33215493722716893</v>
      </c>
      <c r="AR94" s="23">
        <f t="shared" si="47"/>
        <v>0.61594326870932281</v>
      </c>
    </row>
    <row r="95" spans="1:44" ht="15.75" customHeight="1">
      <c r="A95" s="30" t="s">
        <v>287</v>
      </c>
      <c r="B95" s="30">
        <v>90</v>
      </c>
      <c r="C95" s="7" t="s">
        <v>288</v>
      </c>
      <c r="D95" s="4" t="s">
        <v>143</v>
      </c>
      <c r="E95" s="10">
        <v>45824</v>
      </c>
      <c r="F95" s="7" t="s">
        <v>149</v>
      </c>
      <c r="G95" s="7" t="s">
        <v>39</v>
      </c>
      <c r="H95" s="6">
        <v>273.70999999999998</v>
      </c>
      <c r="I95" s="6">
        <v>259.39999999999998</v>
      </c>
      <c r="J95" s="6" t="s">
        <v>64</v>
      </c>
      <c r="K95" s="8">
        <v>2.59</v>
      </c>
      <c r="L95" s="8">
        <v>10.02</v>
      </c>
      <c r="M95" s="8">
        <v>12</v>
      </c>
      <c r="N95" s="1">
        <f t="shared" si="32"/>
        <v>9.41</v>
      </c>
      <c r="O95" s="1">
        <f t="shared" si="33"/>
        <v>0.60999999999999943</v>
      </c>
      <c r="P95" s="1">
        <f t="shared" si="34"/>
        <v>6.4824654622741701E-2</v>
      </c>
      <c r="Q95" s="1">
        <f t="shared" si="35"/>
        <v>242.5844845908608</v>
      </c>
      <c r="R95" s="8">
        <v>20.02</v>
      </c>
      <c r="S95" s="1">
        <f t="shared" si="36"/>
        <v>18.722210414452711</v>
      </c>
      <c r="T95" s="13">
        <v>7.3239999999999998</v>
      </c>
      <c r="U95" s="22">
        <v>41.51</v>
      </c>
      <c r="V95" s="12">
        <v>14.78</v>
      </c>
      <c r="W95" s="12">
        <v>0.27599514463549402</v>
      </c>
      <c r="X95" s="12">
        <v>2.0530796565878</v>
      </c>
      <c r="Y95" s="12">
        <v>14.4293353734618</v>
      </c>
      <c r="Z95" s="12">
        <v>4.6701757412351999</v>
      </c>
      <c r="AA95" s="12">
        <v>49.796414450790401</v>
      </c>
      <c r="AB95" s="12">
        <v>0.48801969340085799</v>
      </c>
      <c r="AC95" s="12">
        <v>21.226731456343199</v>
      </c>
      <c r="AD95" s="12">
        <v>1.3814960738780799</v>
      </c>
      <c r="AE95" s="23">
        <v>3.8767768763569999</v>
      </c>
      <c r="AF95" s="1"/>
      <c r="AH95" s="22">
        <f t="shared" si="37"/>
        <v>2.2171527336300061</v>
      </c>
      <c r="AI95" s="12">
        <f t="shared" si="38"/>
        <v>0.78943669966397234</v>
      </c>
      <c r="AJ95" s="12">
        <f t="shared" si="39"/>
        <v>1.4741589722890738E-2</v>
      </c>
      <c r="AK95" s="12">
        <f t="shared" si="40"/>
        <v>0.10966011016535281</v>
      </c>
      <c r="AL95" s="12">
        <f t="shared" si="41"/>
        <v>0.77070682649325406</v>
      </c>
      <c r="AM95" s="12">
        <f t="shared" si="42"/>
        <v>0.2494457458735766</v>
      </c>
      <c r="AN95" s="12">
        <f t="shared" si="43"/>
        <v>2.6597508172619291</v>
      </c>
      <c r="AO95" s="12">
        <f t="shared" si="44"/>
        <v>2.6066350211731867E-2</v>
      </c>
      <c r="AP95" s="12">
        <f t="shared" si="45"/>
        <v>1.1337727216203655</v>
      </c>
      <c r="AQ95" s="12">
        <f t="shared" si="46"/>
        <v>7.378915434107218E-2</v>
      </c>
      <c r="AR95" s="23">
        <f t="shared" si="47"/>
        <v>0.20706833170533653</v>
      </c>
    </row>
    <row r="96" spans="1:44" ht="15.75" customHeight="1">
      <c r="A96" s="30" t="s">
        <v>289</v>
      </c>
      <c r="B96" s="30">
        <v>91</v>
      </c>
      <c r="C96" s="7" t="s">
        <v>290</v>
      </c>
      <c r="D96" s="4" t="s">
        <v>143</v>
      </c>
      <c r="E96" s="7"/>
      <c r="F96" s="7" t="s">
        <v>149</v>
      </c>
      <c r="G96" s="7" t="s">
        <v>39</v>
      </c>
      <c r="H96" s="6">
        <v>376.96</v>
      </c>
      <c r="I96" s="6">
        <v>360.58</v>
      </c>
      <c r="J96" s="6" t="s">
        <v>166</v>
      </c>
      <c r="K96" s="8">
        <v>2.57</v>
      </c>
      <c r="L96" s="8">
        <v>10</v>
      </c>
      <c r="M96" s="8">
        <v>12.42</v>
      </c>
      <c r="N96" s="1">
        <f t="shared" si="32"/>
        <v>9.85</v>
      </c>
      <c r="O96" s="1">
        <f t="shared" si="33"/>
        <v>0.15000000000000036</v>
      </c>
      <c r="P96" s="1">
        <f t="shared" si="34"/>
        <v>1.5228426395939123E-2</v>
      </c>
      <c r="Q96" s="1">
        <f t="shared" si="35"/>
        <v>355.08893401015223</v>
      </c>
      <c r="R96" s="8">
        <v>20.02</v>
      </c>
      <c r="S96" s="1">
        <f t="shared" si="36"/>
        <v>19.715126903553298</v>
      </c>
      <c r="T96" s="13">
        <v>7.5419999999999998</v>
      </c>
      <c r="U96" s="22">
        <v>16.34</v>
      </c>
      <c r="V96" s="12">
        <v>16.43</v>
      </c>
      <c r="W96" s="12">
        <v>0.38149834787076797</v>
      </c>
      <c r="X96" s="12">
        <v>5.1994279711284399</v>
      </c>
      <c r="Y96" s="12">
        <v>13.050236880001201</v>
      </c>
      <c r="Z96" s="12">
        <v>8.8048371624049206</v>
      </c>
      <c r="AA96" s="12">
        <v>61.645419890438404</v>
      </c>
      <c r="AB96" s="12">
        <v>1.0318351504994381</v>
      </c>
      <c r="AC96" s="12">
        <v>19.868205054220098</v>
      </c>
      <c r="AD96" s="12">
        <v>1.1299645060357999</v>
      </c>
      <c r="AE96" s="23">
        <v>8.563145376483881</v>
      </c>
      <c r="AF96" s="1"/>
      <c r="AH96" s="22">
        <f t="shared" si="37"/>
        <v>0.82880521540315366</v>
      </c>
      <c r="AI96" s="12">
        <f t="shared" si="38"/>
        <v>0.83337023800941334</v>
      </c>
      <c r="AJ96" s="12">
        <f t="shared" si="39"/>
        <v>1.9350539803119893E-2</v>
      </c>
      <c r="AK96" s="12">
        <f t="shared" si="40"/>
        <v>0.26372784697578266</v>
      </c>
      <c r="AL96" s="12">
        <f t="shared" si="41"/>
        <v>0.66194029304722002</v>
      </c>
      <c r="AM96" s="12">
        <f t="shared" si="42"/>
        <v>0.4466031187868239</v>
      </c>
      <c r="AN96" s="12">
        <f t="shared" si="43"/>
        <v>3.1268081708024877</v>
      </c>
      <c r="AO96" s="12">
        <f t="shared" si="44"/>
        <v>5.2337230977370391E-2</v>
      </c>
      <c r="AP96" s="12">
        <f t="shared" si="45"/>
        <v>1.0077645024257598</v>
      </c>
      <c r="AQ96" s="12">
        <f t="shared" si="46"/>
        <v>5.7314594603605828E-2</v>
      </c>
      <c r="AR96" s="23">
        <f t="shared" si="47"/>
        <v>0.43434391360374797</v>
      </c>
    </row>
    <row r="97" spans="1:45" ht="15.75" customHeight="1">
      <c r="A97" s="30" t="s">
        <v>291</v>
      </c>
      <c r="B97" s="30">
        <v>92</v>
      </c>
      <c r="C97" s="7" t="s">
        <v>292</v>
      </c>
      <c r="D97" s="4" t="s">
        <v>143</v>
      </c>
      <c r="E97" s="10">
        <v>45831</v>
      </c>
      <c r="F97" s="7" t="s">
        <v>149</v>
      </c>
      <c r="G97" s="7" t="s">
        <v>39</v>
      </c>
      <c r="H97" s="6">
        <v>401.88</v>
      </c>
      <c r="I97" s="6">
        <v>370.84</v>
      </c>
      <c r="J97" s="6" t="s">
        <v>293</v>
      </c>
      <c r="K97" s="8">
        <v>2.35</v>
      </c>
      <c r="L97" s="8">
        <v>10.01</v>
      </c>
      <c r="M97" s="8">
        <v>12.13</v>
      </c>
      <c r="N97" s="1">
        <f t="shared" si="32"/>
        <v>9.7800000000000011</v>
      </c>
      <c r="O97" s="1">
        <f t="shared" si="33"/>
        <v>0.22999999999999865</v>
      </c>
      <c r="P97" s="1">
        <f t="shared" si="34"/>
        <v>2.3517382413087793E-2</v>
      </c>
      <c r="Q97" s="1">
        <f t="shared" si="35"/>
        <v>362.11881390593049</v>
      </c>
      <c r="R97" s="8">
        <v>20.02</v>
      </c>
      <c r="S97" s="1">
        <f t="shared" si="36"/>
        <v>19.549182004089982</v>
      </c>
      <c r="T97" s="13">
        <v>7.6029999999999998</v>
      </c>
      <c r="U97" s="22">
        <v>25.39</v>
      </c>
      <c r="V97" s="12">
        <v>18.167999999999999</v>
      </c>
      <c r="W97" s="12">
        <v>0.49988659509646399</v>
      </c>
      <c r="X97" s="12">
        <v>3.4343425518821</v>
      </c>
      <c r="Y97" s="12">
        <v>14.666882132119119</v>
      </c>
      <c r="Z97" s="12">
        <v>8.2988941249261803</v>
      </c>
      <c r="AA97" s="12">
        <v>40.581597327592796</v>
      </c>
      <c r="AB97" s="12">
        <v>0.82915649249988999</v>
      </c>
      <c r="AC97" s="12">
        <v>13.6510268583783</v>
      </c>
      <c r="AD97" s="12">
        <v>1.36130130134796</v>
      </c>
      <c r="AE97" s="23">
        <v>9.5897856167070188</v>
      </c>
      <c r="AF97" s="1"/>
      <c r="AH97" s="22">
        <f t="shared" si="37"/>
        <v>1.2987755699797583</v>
      </c>
      <c r="AI97" s="12">
        <f t="shared" si="38"/>
        <v>0.92934834798709132</v>
      </c>
      <c r="AJ97" s="12">
        <f t="shared" si="39"/>
        <v>2.5570716718064226E-2</v>
      </c>
      <c r="AK97" s="12">
        <f t="shared" si="40"/>
        <v>0.17567704629091815</v>
      </c>
      <c r="AL97" s="12">
        <f t="shared" si="41"/>
        <v>0.75025554158995433</v>
      </c>
      <c r="AM97" s="12">
        <f t="shared" si="42"/>
        <v>0.42451362533685183</v>
      </c>
      <c r="AN97" s="12">
        <f t="shared" si="43"/>
        <v>2.0758718865629526</v>
      </c>
      <c r="AO97" s="12">
        <f t="shared" si="44"/>
        <v>4.2413871451317912E-2</v>
      </c>
      <c r="AP97" s="12">
        <f t="shared" si="45"/>
        <v>0.69829146076405146</v>
      </c>
      <c r="AQ97" s="12">
        <f t="shared" si="46"/>
        <v>6.9634693720850085E-2</v>
      </c>
      <c r="AR97" s="23">
        <f t="shared" si="47"/>
        <v>0.4905466435731527</v>
      </c>
    </row>
    <row r="98" spans="1:45" ht="15.75" customHeight="1">
      <c r="A98" s="30" t="s">
        <v>294</v>
      </c>
      <c r="B98" s="30">
        <v>93</v>
      </c>
      <c r="C98" s="7" t="s">
        <v>295</v>
      </c>
      <c r="D98" s="4" t="s">
        <v>143</v>
      </c>
      <c r="E98" s="10">
        <v>45832</v>
      </c>
      <c r="F98" s="7" t="s">
        <v>149</v>
      </c>
      <c r="G98" s="7" t="s">
        <v>39</v>
      </c>
      <c r="H98" s="6">
        <v>198.79</v>
      </c>
      <c r="I98" s="6">
        <v>168.81</v>
      </c>
      <c r="J98" s="6" t="s">
        <v>296</v>
      </c>
      <c r="K98" s="8">
        <v>2.59</v>
      </c>
      <c r="L98" s="8">
        <v>10</v>
      </c>
      <c r="M98" s="8">
        <v>9.7899999999999991</v>
      </c>
      <c r="N98" s="1">
        <f t="shared" si="32"/>
        <v>7.1999999999999993</v>
      </c>
      <c r="O98" s="1">
        <f t="shared" si="33"/>
        <v>2.8000000000000007</v>
      </c>
      <c r="P98" s="1">
        <f t="shared" si="34"/>
        <v>0.38888888888888901</v>
      </c>
      <c r="Q98" s="1">
        <f t="shared" si="35"/>
        <v>103.16166666666663</v>
      </c>
      <c r="R98" s="8">
        <v>19.989999999999998</v>
      </c>
      <c r="S98" s="1">
        <f t="shared" si="36"/>
        <v>12.216111111111108</v>
      </c>
      <c r="T98" s="13">
        <v>7.0030000000000001</v>
      </c>
      <c r="U98" s="22">
        <v>27.47</v>
      </c>
      <c r="V98" s="12">
        <v>13.603999999999999</v>
      </c>
      <c r="W98" s="12">
        <v>0.67864249759965201</v>
      </c>
      <c r="X98" s="12">
        <v>2.06184553935242</v>
      </c>
      <c r="Y98" s="12">
        <v>13.36995319552986</v>
      </c>
      <c r="Z98" s="12">
        <v>4.8524880726861204</v>
      </c>
      <c r="AA98" s="12">
        <v>36.412165694926301</v>
      </c>
      <c r="AB98" s="12">
        <v>0.97803182320857607</v>
      </c>
      <c r="AC98" s="12">
        <v>11.175557302516699</v>
      </c>
      <c r="AD98" s="12">
        <v>2.0851445338661998</v>
      </c>
      <c r="AE98" s="23">
        <v>6.74482023888201</v>
      </c>
      <c r="AF98" s="1"/>
      <c r="AH98" s="22">
        <f t="shared" si="37"/>
        <v>2.248669789440175</v>
      </c>
      <c r="AI98" s="12">
        <f t="shared" si="38"/>
        <v>1.1136113511301107</v>
      </c>
      <c r="AJ98" s="12">
        <f t="shared" si="39"/>
        <v>5.555307179405039E-2</v>
      </c>
      <c r="AK98" s="12">
        <f t="shared" si="40"/>
        <v>0.16878084364156429</v>
      </c>
      <c r="AL98" s="12">
        <f t="shared" si="41"/>
        <v>1.0944524876962916</v>
      </c>
      <c r="AM98" s="12">
        <f t="shared" si="42"/>
        <v>0.397220361582383</v>
      </c>
      <c r="AN98" s="12">
        <f t="shared" si="43"/>
        <v>2.9806675269847362</v>
      </c>
      <c r="AO98" s="12">
        <f t="shared" si="44"/>
        <v>8.006081594321876E-2</v>
      </c>
      <c r="AP98" s="12">
        <f t="shared" si="45"/>
        <v>0.91482118989176697</v>
      </c>
      <c r="AQ98" s="12">
        <f t="shared" si="46"/>
        <v>0.17068807862836693</v>
      </c>
      <c r="AR98" s="23">
        <f t="shared" si="47"/>
        <v>0.5521249911313667</v>
      </c>
    </row>
    <row r="99" spans="1:45" ht="15.75" customHeight="1">
      <c r="A99" s="30" t="s">
        <v>297</v>
      </c>
      <c r="B99" s="30">
        <v>94</v>
      </c>
      <c r="C99" s="7" t="s">
        <v>298</v>
      </c>
      <c r="D99" s="4" t="s">
        <v>143</v>
      </c>
      <c r="E99" s="10">
        <v>45825</v>
      </c>
      <c r="F99" s="7" t="s">
        <v>149</v>
      </c>
      <c r="G99" s="5" t="s">
        <v>165</v>
      </c>
      <c r="H99" s="6">
        <v>380.02</v>
      </c>
      <c r="I99" s="6">
        <v>368.81</v>
      </c>
      <c r="J99" s="6" t="s">
        <v>299</v>
      </c>
      <c r="K99" s="8">
        <v>1</v>
      </c>
      <c r="L99" s="8">
        <v>10</v>
      </c>
      <c r="M99" s="8">
        <v>10.49</v>
      </c>
      <c r="N99" s="1">
        <f t="shared" si="32"/>
        <v>9.49</v>
      </c>
      <c r="O99" s="1">
        <f t="shared" si="33"/>
        <v>0.50999999999999979</v>
      </c>
      <c r="P99" s="1">
        <f t="shared" si="34"/>
        <v>5.3740779768177004E-2</v>
      </c>
      <c r="Q99" s="1">
        <f t="shared" si="35"/>
        <v>348.98986301369865</v>
      </c>
      <c r="R99" s="8">
        <v>20.03</v>
      </c>
      <c r="S99" s="1">
        <f t="shared" si="36"/>
        <v>18.953572181243416</v>
      </c>
      <c r="T99" s="13">
        <v>7.4960000000000004</v>
      </c>
      <c r="U99" s="22">
        <v>38.909999999999997</v>
      </c>
      <c r="V99" s="12">
        <v>13.44</v>
      </c>
      <c r="W99" s="12">
        <v>0.306760295475978</v>
      </c>
      <c r="X99" s="12">
        <v>1.3135011480046179</v>
      </c>
      <c r="Y99" s="12">
        <v>19.540393239716522</v>
      </c>
      <c r="Z99" s="12">
        <v>12.48929811760668</v>
      </c>
      <c r="AA99" s="12">
        <v>53.040614564624001</v>
      </c>
      <c r="AB99" s="12">
        <v>0.69713316038387196</v>
      </c>
      <c r="AC99" s="12">
        <v>20.677202974443396</v>
      </c>
      <c r="AD99" s="12">
        <v>15.450778200721441</v>
      </c>
      <c r="AE99" s="23">
        <v>5.7589134575533798</v>
      </c>
      <c r="AF99" s="1"/>
      <c r="AH99" s="22">
        <f t="shared" si="37"/>
        <v>2.0529111677695036</v>
      </c>
      <c r="AI99" s="12">
        <f t="shared" si="38"/>
        <v>0.7091011589519951</v>
      </c>
      <c r="AJ99" s="12">
        <f t="shared" si="39"/>
        <v>1.6184827458517296E-2</v>
      </c>
      <c r="AK99" s="12">
        <f t="shared" si="40"/>
        <v>6.9300981126104957E-2</v>
      </c>
      <c r="AL99" s="12">
        <f t="shared" si="41"/>
        <v>1.0309609741563033</v>
      </c>
      <c r="AM99" s="12">
        <f t="shared" si="42"/>
        <v>0.65894164953064494</v>
      </c>
      <c r="AN99" s="12">
        <f t="shared" si="43"/>
        <v>2.7984494984598922</v>
      </c>
      <c r="AO99" s="12">
        <f t="shared" si="44"/>
        <v>3.6781096128874306E-2</v>
      </c>
      <c r="AP99" s="12">
        <f t="shared" si="45"/>
        <v>1.0909396274600782</v>
      </c>
      <c r="AQ99" s="12">
        <f t="shared" si="46"/>
        <v>0.81519082803882403</v>
      </c>
      <c r="AR99" s="23">
        <f t="shared" si="47"/>
        <v>0.30384317016780826</v>
      </c>
    </row>
    <row r="100" spans="1:45" ht="15.75" customHeight="1">
      <c r="A100" s="30" t="s">
        <v>300</v>
      </c>
      <c r="B100" s="30">
        <v>95</v>
      </c>
      <c r="C100" s="7" t="s">
        <v>301</v>
      </c>
      <c r="D100" s="4" t="s">
        <v>143</v>
      </c>
      <c r="E100" s="10">
        <v>45831</v>
      </c>
      <c r="F100" s="7" t="s">
        <v>149</v>
      </c>
      <c r="G100" s="5" t="s">
        <v>165</v>
      </c>
      <c r="H100" s="6">
        <v>264.39999999999998</v>
      </c>
      <c r="I100" s="6">
        <v>248.96</v>
      </c>
      <c r="J100" s="6" t="s">
        <v>138</v>
      </c>
      <c r="K100" s="8">
        <v>2.58</v>
      </c>
      <c r="L100" s="8">
        <v>9.99</v>
      </c>
      <c r="M100" s="8">
        <v>12.42</v>
      </c>
      <c r="N100" s="1">
        <f t="shared" si="32"/>
        <v>9.84</v>
      </c>
      <c r="O100" s="1">
        <f t="shared" si="33"/>
        <v>0.15000000000000036</v>
      </c>
      <c r="P100" s="1">
        <f t="shared" si="34"/>
        <v>1.5243902439024426E-2</v>
      </c>
      <c r="Q100" s="1">
        <f t="shared" si="35"/>
        <v>245.16487804878048</v>
      </c>
      <c r="R100" s="8">
        <v>19.989999999999998</v>
      </c>
      <c r="S100" s="1">
        <f t="shared" si="36"/>
        <v>19.685274390243901</v>
      </c>
      <c r="T100" s="13">
        <v>7.5339999999999998</v>
      </c>
      <c r="U100" s="22">
        <v>37.46</v>
      </c>
      <c r="V100" s="12">
        <v>17.02</v>
      </c>
      <c r="W100" s="12">
        <v>0.40102790178132003</v>
      </c>
      <c r="X100" s="12">
        <v>3.6457926788412998</v>
      </c>
      <c r="Y100" s="12">
        <v>13.506920801060939</v>
      </c>
      <c r="Z100" s="12">
        <v>9.1794764730188607</v>
      </c>
      <c r="AA100" s="12">
        <v>45.760940435018</v>
      </c>
      <c r="AB100" s="12">
        <v>1.2206459234300799</v>
      </c>
      <c r="AC100" s="12">
        <v>19.907545139003219</v>
      </c>
      <c r="AD100" s="12">
        <v>11.24984704520686</v>
      </c>
      <c r="AE100" s="23">
        <v>7.0349040690518203</v>
      </c>
      <c r="AF100" s="1"/>
      <c r="AH100" s="22">
        <f t="shared" si="37"/>
        <v>1.9029452806898808</v>
      </c>
      <c r="AI100" s="12">
        <f t="shared" si="38"/>
        <v>0.864605677451729</v>
      </c>
      <c r="AJ100" s="12">
        <f t="shared" si="39"/>
        <v>2.0371974188994339E-2</v>
      </c>
      <c r="AK100" s="12">
        <f t="shared" si="40"/>
        <v>0.18520405692938519</v>
      </c>
      <c r="AL100" s="12">
        <f t="shared" si="41"/>
        <v>0.68614338481128934</v>
      </c>
      <c r="AM100" s="12">
        <f t="shared" si="42"/>
        <v>0.46631183752095656</v>
      </c>
      <c r="AN100" s="12">
        <f t="shared" si="43"/>
        <v>2.3246280203082819</v>
      </c>
      <c r="AO100" s="12">
        <f t="shared" si="44"/>
        <v>6.2008072594356971E-2</v>
      </c>
      <c r="AP100" s="12">
        <f t="shared" si="45"/>
        <v>1.0112912192308317</v>
      </c>
      <c r="AQ100" s="12">
        <f t="shared" si="46"/>
        <v>0.57148540691829663</v>
      </c>
      <c r="AR100" s="23">
        <f t="shared" si="47"/>
        <v>0.35736886007229579</v>
      </c>
    </row>
    <row r="101" spans="1:45" ht="15.75" customHeight="1">
      <c r="A101" s="30" t="s">
        <v>302</v>
      </c>
      <c r="B101" s="30">
        <v>96</v>
      </c>
      <c r="C101" s="7" t="s">
        <v>303</v>
      </c>
      <c r="D101" s="4" t="s">
        <v>143</v>
      </c>
      <c r="E101" s="10">
        <v>45825</v>
      </c>
      <c r="F101" s="7" t="s">
        <v>149</v>
      </c>
      <c r="G101" s="5" t="s">
        <v>165</v>
      </c>
      <c r="H101" s="6">
        <v>228.99</v>
      </c>
      <c r="I101" s="6">
        <v>215.3</v>
      </c>
      <c r="J101" s="6" t="s">
        <v>304</v>
      </c>
      <c r="K101" s="8">
        <v>2.57</v>
      </c>
      <c r="L101" s="8">
        <v>10.02</v>
      </c>
      <c r="M101" s="8">
        <v>11.86</v>
      </c>
      <c r="N101" s="1">
        <f t="shared" si="32"/>
        <v>9.2899999999999991</v>
      </c>
      <c r="O101" s="1">
        <f t="shared" si="33"/>
        <v>0.73000000000000043</v>
      </c>
      <c r="P101" s="1">
        <f t="shared" si="34"/>
        <v>7.8579117330462911E-2</v>
      </c>
      <c r="Q101" s="1">
        <f t="shared" si="35"/>
        <v>198.38191603875137</v>
      </c>
      <c r="R101" s="8">
        <v>20.010000000000002</v>
      </c>
      <c r="S101" s="1">
        <f t="shared" si="36"/>
        <v>18.43763186221744</v>
      </c>
      <c r="T101" s="13">
        <v>7.68</v>
      </c>
      <c r="U101" s="22">
        <v>29.7</v>
      </c>
      <c r="V101" s="12">
        <v>16.942</v>
      </c>
      <c r="W101" s="12">
        <v>0.32494122615733201</v>
      </c>
      <c r="X101" s="12">
        <v>1.8957343529553401</v>
      </c>
      <c r="Y101" s="12">
        <v>14.954964582689</v>
      </c>
      <c r="Z101" s="12">
        <v>11.018276844055478</v>
      </c>
      <c r="AA101" s="12">
        <v>43.183322106629397</v>
      </c>
      <c r="AB101" s="12">
        <v>0.61179416374361206</v>
      </c>
      <c r="AC101" s="12">
        <v>14.4097693634181</v>
      </c>
      <c r="AD101" s="12">
        <v>13.815188287881881</v>
      </c>
      <c r="AE101" s="23">
        <v>4.6593651175787194</v>
      </c>
      <c r="AF101" s="1"/>
      <c r="AH101" s="22">
        <f t="shared" si="37"/>
        <v>1.6108359371716008</v>
      </c>
      <c r="AI101" s="12">
        <f t="shared" si="38"/>
        <v>0.91888156389095166</v>
      </c>
      <c r="AJ101" s="12">
        <f t="shared" si="39"/>
        <v>1.7623804867435523E-2</v>
      </c>
      <c r="AK101" s="12">
        <f t="shared" si="40"/>
        <v>0.10281875498556275</v>
      </c>
      <c r="AL101" s="12">
        <f t="shared" si="41"/>
        <v>0.81111092218599101</v>
      </c>
      <c r="AM101" s="12">
        <f t="shared" si="42"/>
        <v>0.59759718202391432</v>
      </c>
      <c r="AN101" s="12">
        <f t="shared" si="43"/>
        <v>2.3421295331924403</v>
      </c>
      <c r="AO101" s="12">
        <f t="shared" si="44"/>
        <v>3.3181819027274656E-2</v>
      </c>
      <c r="AP101" s="12">
        <f t="shared" si="45"/>
        <v>0.78154122346626997</v>
      </c>
      <c r="AQ101" s="12">
        <f t="shared" si="46"/>
        <v>0.74929298898694729</v>
      </c>
      <c r="AR101" s="23">
        <f t="shared" si="47"/>
        <v>0.25270952107069306</v>
      </c>
    </row>
    <row r="102" spans="1:45" ht="15.75" customHeight="1">
      <c r="A102" s="30" t="s">
        <v>305</v>
      </c>
      <c r="B102" s="30">
        <v>97</v>
      </c>
      <c r="C102" s="7" t="s">
        <v>306</v>
      </c>
      <c r="D102" s="4" t="s">
        <v>143</v>
      </c>
      <c r="E102" s="10"/>
      <c r="F102" s="7" t="s">
        <v>149</v>
      </c>
      <c r="G102" s="5" t="s">
        <v>165</v>
      </c>
      <c r="H102" s="6">
        <v>198.49</v>
      </c>
      <c r="I102" s="6">
        <v>180.92</v>
      </c>
      <c r="J102" s="6" t="s">
        <v>307</v>
      </c>
      <c r="K102" s="8">
        <v>2.6</v>
      </c>
      <c r="L102" s="8">
        <v>10</v>
      </c>
      <c r="M102" s="8">
        <v>12.21</v>
      </c>
      <c r="N102" s="1">
        <f t="shared" ref="N102" si="48">M102-K102</f>
        <v>9.6100000000000012</v>
      </c>
      <c r="O102" s="1">
        <f t="shared" ref="O102" si="49">L102-N102</f>
        <v>0.38999999999999879</v>
      </c>
      <c r="P102" s="1">
        <f t="shared" si="34"/>
        <v>4.0582726326742848E-2</v>
      </c>
      <c r="Q102" s="1">
        <f t="shared" ref="Q102" si="50">(1-P102)*I102</f>
        <v>173.57777315296568</v>
      </c>
      <c r="R102" s="8">
        <v>20</v>
      </c>
      <c r="S102" s="1">
        <f t="shared" ref="S102" si="51">(1-P102)*R102</f>
        <v>19.188345473465141</v>
      </c>
      <c r="T102" s="13">
        <v>7.3109999999999999</v>
      </c>
      <c r="U102" s="22">
        <v>26.11</v>
      </c>
      <c r="V102" s="12">
        <v>16.629000000000001</v>
      </c>
      <c r="W102" s="12">
        <v>0.29659004178909798</v>
      </c>
      <c r="X102" s="12">
        <v>1.0624845121478279</v>
      </c>
      <c r="Y102" s="12">
        <v>12.765982888290079</v>
      </c>
      <c r="Z102" s="12">
        <v>7.6585217508253001</v>
      </c>
      <c r="AA102" s="12">
        <v>29.570726255544201</v>
      </c>
      <c r="AB102" s="12">
        <v>0.52862987899675395</v>
      </c>
      <c r="AC102" s="12">
        <v>14.4734223693921</v>
      </c>
      <c r="AD102" s="12">
        <v>15.3715099148333</v>
      </c>
      <c r="AE102" s="23">
        <v>5.0828286981090001</v>
      </c>
      <c r="AF102" s="1"/>
      <c r="AH102" s="22">
        <f t="shared" si="37"/>
        <v>1.3607218004338395</v>
      </c>
      <c r="AI102" s="12">
        <f t="shared" si="38"/>
        <v>0.86661979392624733</v>
      </c>
      <c r="AJ102" s="12">
        <f t="shared" si="39"/>
        <v>1.5456780377403641E-2</v>
      </c>
      <c r="AK102" s="12">
        <f t="shared" si="40"/>
        <v>5.5371345779504477E-2</v>
      </c>
      <c r="AL102" s="12">
        <f t="shared" si="41"/>
        <v>0.66529878284418464</v>
      </c>
      <c r="AM102" s="12">
        <f t="shared" si="42"/>
        <v>0.3991236118515788</v>
      </c>
      <c r="AN102" s="12">
        <f t="shared" si="43"/>
        <v>1.5410774366365498</v>
      </c>
      <c r="AO102" s="12">
        <f t="shared" si="44"/>
        <v>2.754952894337747E-2</v>
      </c>
      <c r="AP102" s="12">
        <f t="shared" si="45"/>
        <v>0.75428193584521741</v>
      </c>
      <c r="AQ102" s="12">
        <f t="shared" si="46"/>
        <v>0.80108573905394798</v>
      </c>
      <c r="AR102" s="23">
        <f t="shared" si="47"/>
        <v>0.26489145221706883</v>
      </c>
    </row>
    <row r="103" spans="1:45" ht="15.75" customHeight="1">
      <c r="A103" s="30" t="s">
        <v>308</v>
      </c>
      <c r="B103" s="30">
        <v>98</v>
      </c>
      <c r="C103" s="14" t="s">
        <v>309</v>
      </c>
      <c r="D103" s="15" t="s">
        <v>143</v>
      </c>
      <c r="E103" s="14"/>
      <c r="F103" s="14" t="s">
        <v>149</v>
      </c>
      <c r="G103" s="16" t="s">
        <v>165</v>
      </c>
      <c r="H103" s="17"/>
      <c r="I103" s="17"/>
      <c r="J103" s="17"/>
      <c r="K103" s="18"/>
      <c r="L103" s="18"/>
      <c r="M103" s="19"/>
      <c r="N103" s="19"/>
      <c r="O103" s="19"/>
      <c r="P103" s="19"/>
      <c r="Q103" s="19"/>
      <c r="R103" s="18"/>
      <c r="S103" s="18"/>
      <c r="T103" s="20"/>
      <c r="U103" s="24"/>
      <c r="V103" s="21"/>
      <c r="W103" s="21"/>
      <c r="X103" s="21"/>
      <c r="Y103" s="21"/>
      <c r="Z103" s="21"/>
      <c r="AA103" s="21"/>
      <c r="AB103" s="21"/>
      <c r="AC103" s="21"/>
      <c r="AD103" s="21"/>
      <c r="AE103" s="25"/>
      <c r="AF103" s="21"/>
      <c r="AG103" s="21"/>
      <c r="AH103" s="24"/>
      <c r="AI103" s="21"/>
      <c r="AJ103" s="21"/>
      <c r="AK103" s="21"/>
      <c r="AL103" s="21"/>
      <c r="AM103" s="21"/>
      <c r="AN103" s="21"/>
      <c r="AO103" s="21"/>
      <c r="AP103" s="21"/>
      <c r="AQ103" s="21"/>
      <c r="AR103" s="25"/>
      <c r="AS103" s="11" t="s">
        <v>310</v>
      </c>
    </row>
    <row r="104" spans="1:45" ht="15.75" customHeight="1">
      <c r="A104" s="30" t="s">
        <v>311</v>
      </c>
      <c r="B104" s="30">
        <v>99</v>
      </c>
      <c r="C104" s="7" t="s">
        <v>312</v>
      </c>
      <c r="D104" s="4" t="s">
        <v>143</v>
      </c>
      <c r="E104" s="7"/>
      <c r="F104" s="7" t="s">
        <v>149</v>
      </c>
      <c r="G104" s="5" t="s">
        <v>165</v>
      </c>
      <c r="H104" s="6">
        <v>371.94</v>
      </c>
      <c r="I104" s="6">
        <v>339.63</v>
      </c>
      <c r="J104" s="6" t="s">
        <v>313</v>
      </c>
      <c r="K104" s="8">
        <v>2.2999999999999998</v>
      </c>
      <c r="L104" s="8">
        <v>10.01</v>
      </c>
      <c r="M104" s="8">
        <v>12.21</v>
      </c>
      <c r="N104" s="1">
        <f t="shared" ref="N104:N114" si="52">M104-K104</f>
        <v>9.91</v>
      </c>
      <c r="O104" s="1">
        <f t="shared" ref="O104:O114" si="53">L104-N104</f>
        <v>9.9999999999999645E-2</v>
      </c>
      <c r="P104" s="1">
        <f t="shared" ref="P104:P114" si="54">(L104-N104)/N104</f>
        <v>1.0090817356205817E-2</v>
      </c>
      <c r="Q104" s="1">
        <f t="shared" ref="Q104:Q114" si="55">(1-P104)*I104</f>
        <v>336.20285570131182</v>
      </c>
      <c r="R104" s="8">
        <v>20</v>
      </c>
      <c r="S104" s="1">
        <f t="shared" ref="S104:S114" si="56">(1-P104)*R104</f>
        <v>19.798183652875885</v>
      </c>
      <c r="T104" s="13">
        <v>7.3239999999999998</v>
      </c>
      <c r="U104" s="22">
        <v>43.32</v>
      </c>
      <c r="V104" s="12">
        <v>11.27</v>
      </c>
      <c r="W104" s="12">
        <v>0.66236105966269998</v>
      </c>
      <c r="X104" s="12">
        <v>1.945047066530992</v>
      </c>
      <c r="Y104" s="12">
        <v>11.452085926950719</v>
      </c>
      <c r="Z104" s="12">
        <v>8.3815737770148004</v>
      </c>
      <c r="AA104" s="12">
        <v>37.260462694515802</v>
      </c>
      <c r="AB104" s="12">
        <v>0.92762315796967598</v>
      </c>
      <c r="AC104" s="12">
        <v>15.0253788232873</v>
      </c>
      <c r="AD104" s="12">
        <v>13.385304016770601</v>
      </c>
      <c r="AE104" s="23">
        <v>8.0508743641748595</v>
      </c>
      <c r="AF104" s="1"/>
      <c r="AH104" s="22">
        <f t="shared" ref="AH104:AH114" si="57">U104/$S104</f>
        <v>2.1880795107033637</v>
      </c>
      <c r="AI104" s="12">
        <f t="shared" ref="AI104:AI114" si="58">V104/$S104</f>
        <v>0.56924413863404677</v>
      </c>
      <c r="AJ104" s="12">
        <f t="shared" ref="AJ104:AJ114" si="59">W104/$S104</f>
        <v>3.3455647814767363E-2</v>
      </c>
      <c r="AK104" s="12">
        <f t="shared" ref="AK104:AK114" si="60">X104/$S104</f>
        <v>9.8243712687676496E-2</v>
      </c>
      <c r="AL104" s="12">
        <f t="shared" ref="AL104:AL114" si="61">Y104/$S104</f>
        <v>0.5784412412644323</v>
      </c>
      <c r="AM104" s="12">
        <f t="shared" ref="AM104:AM114" si="62">Z104/$S104</f>
        <v>0.42335064286552837</v>
      </c>
      <c r="AN104" s="12">
        <f t="shared" ref="AN104:AN114" si="63">AA104/$S104</f>
        <v>1.8820141962418531</v>
      </c>
      <c r="AO104" s="12">
        <f t="shared" ref="AO104:AO114" si="64">AB104/$S104</f>
        <v>4.6853952576348057E-2</v>
      </c>
      <c r="AP104" s="12">
        <f t="shared" ref="AP104:AP114" si="65">AC104/$S104</f>
        <v>0.75892713628326769</v>
      </c>
      <c r="AQ104" s="12">
        <f t="shared" ref="AQ104:AQ114" si="66">AD104/$S104</f>
        <v>0.67608747607643549</v>
      </c>
      <c r="AR104" s="23">
        <f t="shared" ref="AR104:AR114" si="67">AE104/$S104</f>
        <v>0.40664712002534581</v>
      </c>
    </row>
    <row r="105" spans="1:45" ht="15.75" customHeight="1">
      <c r="A105" s="30" t="s">
        <v>314</v>
      </c>
      <c r="B105" s="30">
        <v>100</v>
      </c>
      <c r="C105" s="7" t="s">
        <v>315</v>
      </c>
      <c r="D105" s="4" t="s">
        <v>143</v>
      </c>
      <c r="E105" s="7"/>
      <c r="F105" s="7" t="s">
        <v>38</v>
      </c>
      <c r="G105" s="7" t="s">
        <v>39</v>
      </c>
      <c r="H105" s="6">
        <v>227.24</v>
      </c>
      <c r="I105" s="6">
        <v>189.5</v>
      </c>
      <c r="J105" s="6" t="s">
        <v>316</v>
      </c>
      <c r="K105" s="8">
        <v>2.6</v>
      </c>
      <c r="L105" s="8">
        <v>10</v>
      </c>
      <c r="M105" s="8">
        <v>10.46</v>
      </c>
      <c r="N105" s="1">
        <f t="shared" si="52"/>
        <v>7.8600000000000012</v>
      </c>
      <c r="O105" s="1">
        <f t="shared" si="53"/>
        <v>2.1399999999999988</v>
      </c>
      <c r="P105" s="1">
        <f t="shared" si="54"/>
        <v>0.27226463104325682</v>
      </c>
      <c r="Q105" s="1">
        <f t="shared" si="55"/>
        <v>137.90585241730284</v>
      </c>
      <c r="R105" s="8">
        <v>20.010000000000002</v>
      </c>
      <c r="S105" s="1">
        <f t="shared" si="56"/>
        <v>14.561984732824433</v>
      </c>
      <c r="T105" s="13">
        <v>6.069</v>
      </c>
      <c r="U105" s="22">
        <v>25.59</v>
      </c>
      <c r="V105" s="12">
        <v>14.33</v>
      </c>
      <c r="W105" s="12">
        <v>0.63347432447999996</v>
      </c>
      <c r="X105" s="12">
        <v>0.37612318956635998</v>
      </c>
      <c r="Y105" s="12">
        <v>9.6787140709033999</v>
      </c>
      <c r="Z105" s="12">
        <v>1.7390425903728639</v>
      </c>
      <c r="AA105" s="12">
        <v>17.944852360869898</v>
      </c>
      <c r="AB105" s="12">
        <v>0.89726395585088004</v>
      </c>
      <c r="AC105" s="12">
        <v>11.5960002007638</v>
      </c>
      <c r="AD105" s="12">
        <v>1.5320789030468001</v>
      </c>
      <c r="AE105" s="23">
        <v>5.0827584433804791</v>
      </c>
      <c r="AF105" s="1"/>
      <c r="AH105" s="22">
        <f t="shared" si="57"/>
        <v>1.7573153982449328</v>
      </c>
      <c r="AI105" s="12">
        <f t="shared" si="58"/>
        <v>0.98406915423407137</v>
      </c>
      <c r="AJ105" s="12">
        <f t="shared" si="59"/>
        <v>4.3501922032102812E-2</v>
      </c>
      <c r="AK105" s="12">
        <f t="shared" si="60"/>
        <v>2.5829115774207202E-2</v>
      </c>
      <c r="AL105" s="12">
        <f t="shared" si="61"/>
        <v>0.66465624353295982</v>
      </c>
      <c r="AM105" s="12">
        <f t="shared" si="62"/>
        <v>0.11942345925228562</v>
      </c>
      <c r="AN105" s="12">
        <f t="shared" si="63"/>
        <v>1.2323081427506295</v>
      </c>
      <c r="AO105" s="12">
        <f t="shared" si="64"/>
        <v>6.1616872446538219E-2</v>
      </c>
      <c r="AP105" s="12">
        <f t="shared" si="65"/>
        <v>0.79632003559412112</v>
      </c>
      <c r="AQ105" s="12">
        <f t="shared" si="66"/>
        <v>0.10521085766511713</v>
      </c>
      <c r="AR105" s="23">
        <f t="shared" si="67"/>
        <v>0.34904297296256198</v>
      </c>
    </row>
    <row r="106" spans="1:45" ht="15.75" customHeight="1">
      <c r="A106" s="30" t="s">
        <v>317</v>
      </c>
      <c r="B106" s="30">
        <v>101</v>
      </c>
      <c r="C106" s="7" t="s">
        <v>318</v>
      </c>
      <c r="D106" s="4" t="s">
        <v>143</v>
      </c>
      <c r="E106" s="10">
        <v>45824</v>
      </c>
      <c r="F106" s="7" t="s">
        <v>38</v>
      </c>
      <c r="G106" s="7" t="s">
        <v>39</v>
      </c>
      <c r="H106" s="6">
        <v>324.52999999999997</v>
      </c>
      <c r="I106" s="6">
        <v>310.12</v>
      </c>
      <c r="J106" s="6" t="s">
        <v>319</v>
      </c>
      <c r="K106" s="8">
        <v>2.59</v>
      </c>
      <c r="L106" s="8">
        <v>10.029999999999999</v>
      </c>
      <c r="M106" s="8">
        <v>11.41</v>
      </c>
      <c r="N106" s="1">
        <f t="shared" si="52"/>
        <v>8.82</v>
      </c>
      <c r="O106" s="1">
        <f t="shared" si="53"/>
        <v>1.2099999999999991</v>
      </c>
      <c r="P106" s="1">
        <f t="shared" si="54"/>
        <v>0.13718820861677994</v>
      </c>
      <c r="Q106" s="1">
        <f t="shared" si="55"/>
        <v>267.57519274376421</v>
      </c>
      <c r="R106" s="8">
        <v>20.02</v>
      </c>
      <c r="S106" s="1">
        <f t="shared" si="56"/>
        <v>17.273492063492064</v>
      </c>
      <c r="T106" s="13">
        <v>6.5880000000000001</v>
      </c>
      <c r="U106" s="22">
        <v>25.36</v>
      </c>
      <c r="V106" s="12">
        <v>10.279</v>
      </c>
      <c r="W106" s="12">
        <v>0.63643047287564991</v>
      </c>
      <c r="X106" s="12">
        <v>6.0934364549084997E-2</v>
      </c>
      <c r="Y106" s="12">
        <v>9.2504671906815403</v>
      </c>
      <c r="Z106" s="12">
        <v>2.89107929755912</v>
      </c>
      <c r="AA106" s="12">
        <v>15.998504645816361</v>
      </c>
      <c r="AB106" s="12">
        <v>0.53429444312254804</v>
      </c>
      <c r="AC106" s="12">
        <v>10.236741463816701</v>
      </c>
      <c r="AD106" s="12">
        <v>1.9413639943750001</v>
      </c>
      <c r="AE106" s="23">
        <v>4.1054303890500101</v>
      </c>
      <c r="AF106" s="1"/>
      <c r="AH106" s="22">
        <f t="shared" si="57"/>
        <v>1.4681455207079386</v>
      </c>
      <c r="AI106" s="12">
        <f t="shared" si="58"/>
        <v>0.59507365170965698</v>
      </c>
      <c r="AJ106" s="12">
        <f t="shared" si="59"/>
        <v>3.684434337517431E-2</v>
      </c>
      <c r="AK106" s="12">
        <f t="shared" si="60"/>
        <v>3.5276228063850059E-3</v>
      </c>
      <c r="AL106" s="12">
        <f t="shared" si="61"/>
        <v>0.53552965183181589</v>
      </c>
      <c r="AM106" s="12">
        <f t="shared" si="62"/>
        <v>0.16737086438181686</v>
      </c>
      <c r="AN106" s="12">
        <f t="shared" si="63"/>
        <v>0.92618820716799821</v>
      </c>
      <c r="AO106" s="12">
        <f t="shared" si="64"/>
        <v>3.0931466617094297E-2</v>
      </c>
      <c r="AP106" s="12">
        <f t="shared" si="65"/>
        <v>0.59262721319983103</v>
      </c>
      <c r="AQ106" s="12">
        <f t="shared" si="66"/>
        <v>0.11238978124626688</v>
      </c>
      <c r="AR106" s="23">
        <f t="shared" si="67"/>
        <v>0.2376722884961365</v>
      </c>
    </row>
    <row r="107" spans="1:45" ht="15.75" customHeight="1">
      <c r="A107" s="30" t="s">
        <v>320</v>
      </c>
      <c r="B107" s="30">
        <v>102</v>
      </c>
      <c r="C107" s="7" t="s">
        <v>321</v>
      </c>
      <c r="D107" s="4" t="s">
        <v>143</v>
      </c>
      <c r="E107" s="10">
        <v>45826</v>
      </c>
      <c r="F107" s="7" t="s">
        <v>38</v>
      </c>
      <c r="G107" s="7" t="s">
        <v>39</v>
      </c>
      <c r="H107" s="6">
        <v>254.68</v>
      </c>
      <c r="I107" s="6">
        <v>226.02</v>
      </c>
      <c r="J107" s="6" t="s">
        <v>322</v>
      </c>
      <c r="K107" s="8">
        <v>1.02</v>
      </c>
      <c r="L107" s="8">
        <v>10.01</v>
      </c>
      <c r="M107" s="8">
        <v>8.36</v>
      </c>
      <c r="N107" s="1">
        <f t="shared" si="52"/>
        <v>7.34</v>
      </c>
      <c r="O107" s="1">
        <f t="shared" si="53"/>
        <v>2.67</v>
      </c>
      <c r="P107" s="1">
        <f t="shared" si="54"/>
        <v>0.36376021798365121</v>
      </c>
      <c r="Q107" s="1">
        <f t="shared" si="55"/>
        <v>143.80291553133515</v>
      </c>
      <c r="R107" s="8">
        <v>20.03</v>
      </c>
      <c r="S107" s="1">
        <f t="shared" si="56"/>
        <v>12.743882833787467</v>
      </c>
      <c r="T107" s="13">
        <v>6.53</v>
      </c>
      <c r="U107" s="22">
        <v>24.23</v>
      </c>
      <c r="V107" s="12">
        <v>13.95</v>
      </c>
      <c r="W107" s="12">
        <v>0.49109514731827397</v>
      </c>
      <c r="X107" s="12">
        <v>6.8554936861028606E-2</v>
      </c>
      <c r="Y107" s="12">
        <v>11.85888833648092</v>
      </c>
      <c r="Z107" s="12">
        <v>2.1078098287998399</v>
      </c>
      <c r="AA107" s="12">
        <v>13.849193012082219</v>
      </c>
      <c r="AB107" s="12">
        <v>0.56142994795941403</v>
      </c>
      <c r="AC107" s="12">
        <v>15.758939021799099</v>
      </c>
      <c r="AD107" s="12">
        <v>1.6266107765067599</v>
      </c>
      <c r="AE107" s="23">
        <v>4.1021324848482799</v>
      </c>
      <c r="AF107" s="1"/>
      <c r="AH107" s="22">
        <f t="shared" si="57"/>
        <v>1.9013043603759243</v>
      </c>
      <c r="AI107" s="12">
        <f t="shared" si="58"/>
        <v>1.0946428323253876</v>
      </c>
      <c r="AJ107" s="12">
        <f t="shared" si="59"/>
        <v>3.8535755053887379E-2</v>
      </c>
      <c r="AK107" s="12">
        <f t="shared" si="60"/>
        <v>5.3794387279888509E-3</v>
      </c>
      <c r="AL107" s="12">
        <f t="shared" si="61"/>
        <v>0.93055534887999847</v>
      </c>
      <c r="AM107" s="12">
        <f t="shared" si="62"/>
        <v>0.1653977721147489</v>
      </c>
      <c r="AN107" s="12">
        <f t="shared" si="63"/>
        <v>1.0867326067502974</v>
      </c>
      <c r="AO107" s="12">
        <f t="shared" si="64"/>
        <v>4.4054857948859355E-2</v>
      </c>
      <c r="AP107" s="12">
        <f t="shared" si="65"/>
        <v>1.2365885050369347</v>
      </c>
      <c r="AQ107" s="12">
        <f t="shared" si="66"/>
        <v>0.12763855394167439</v>
      </c>
      <c r="AR107" s="23">
        <f t="shared" si="67"/>
        <v>0.32189031697407178</v>
      </c>
    </row>
    <row r="108" spans="1:45" ht="15.75" customHeight="1">
      <c r="A108" s="30" t="s">
        <v>323</v>
      </c>
      <c r="B108" s="30">
        <v>103</v>
      </c>
      <c r="C108" s="7" t="s">
        <v>324</v>
      </c>
      <c r="D108" s="4" t="s">
        <v>143</v>
      </c>
      <c r="E108" s="10">
        <v>45826</v>
      </c>
      <c r="F108" s="7" t="s">
        <v>38</v>
      </c>
      <c r="G108" s="7" t="s">
        <v>39</v>
      </c>
      <c r="H108" s="6">
        <v>351.24</v>
      </c>
      <c r="I108" s="6">
        <v>307</v>
      </c>
      <c r="J108" s="6" t="s">
        <v>325</v>
      </c>
      <c r="K108" s="8">
        <v>0.98</v>
      </c>
      <c r="L108" s="8">
        <v>9.99</v>
      </c>
      <c r="M108" s="8">
        <v>9.7899999999999991</v>
      </c>
      <c r="N108" s="1">
        <f t="shared" si="52"/>
        <v>8.8099999999999987</v>
      </c>
      <c r="O108" s="1">
        <f t="shared" si="53"/>
        <v>1.1800000000000015</v>
      </c>
      <c r="P108" s="1">
        <f t="shared" si="54"/>
        <v>0.13393870601589122</v>
      </c>
      <c r="Q108" s="1">
        <f t="shared" si="55"/>
        <v>265.88081725312139</v>
      </c>
      <c r="R108" s="8">
        <v>20.02</v>
      </c>
      <c r="S108" s="1">
        <f t="shared" si="56"/>
        <v>17.338547105561858</v>
      </c>
      <c r="T108" s="13">
        <v>6.391</v>
      </c>
      <c r="U108" s="22">
        <v>25.15</v>
      </c>
      <c r="V108" s="12">
        <v>9.2110000000000003</v>
      </c>
      <c r="W108" s="12">
        <v>0.43370409135672799</v>
      </c>
      <c r="X108" s="12">
        <v>4.9881315288831399E-2</v>
      </c>
      <c r="Y108" s="12">
        <v>8.3330569249537607</v>
      </c>
      <c r="Z108" s="12">
        <v>2.7875425391908997</v>
      </c>
      <c r="AA108" s="12">
        <v>13.733634536200201</v>
      </c>
      <c r="AB108" s="12">
        <v>0.610235791950822</v>
      </c>
      <c r="AC108" s="12">
        <v>9.9743055516715593</v>
      </c>
      <c r="AD108" s="12">
        <v>1.0932454359999999</v>
      </c>
      <c r="AE108" s="23">
        <v>4.6101851977155803</v>
      </c>
      <c r="AF108" s="1"/>
      <c r="AH108" s="22">
        <f t="shared" si="57"/>
        <v>1.4505252283758183</v>
      </c>
      <c r="AI108" s="12">
        <f t="shared" si="58"/>
        <v>0.53124405083776005</v>
      </c>
      <c r="AJ108" s="12">
        <f t="shared" si="59"/>
        <v>2.501386585140138E-2</v>
      </c>
      <c r="AK108" s="12">
        <f t="shared" si="60"/>
        <v>2.8769028330424798E-3</v>
      </c>
      <c r="AL108" s="12">
        <f t="shared" si="61"/>
        <v>0.48060871964760432</v>
      </c>
      <c r="AM108" s="12">
        <f t="shared" si="62"/>
        <v>0.16077140271440113</v>
      </c>
      <c r="AN108" s="12">
        <f t="shared" si="63"/>
        <v>0.79208681399808445</v>
      </c>
      <c r="AO108" s="12">
        <f t="shared" si="64"/>
        <v>3.5195324512229204E-2</v>
      </c>
      <c r="AP108" s="12">
        <f t="shared" si="65"/>
        <v>0.57526766752399927</v>
      </c>
      <c r="AQ108" s="12">
        <f t="shared" si="66"/>
        <v>6.3052886112314951E-2</v>
      </c>
      <c r="AR108" s="23">
        <f t="shared" si="67"/>
        <v>0.26589224400680755</v>
      </c>
    </row>
    <row r="109" spans="1:45" ht="15.75" customHeight="1">
      <c r="A109" s="30" t="s">
        <v>326</v>
      </c>
      <c r="B109" s="30">
        <v>104</v>
      </c>
      <c r="C109" s="7" t="s">
        <v>327</v>
      </c>
      <c r="D109" s="4" t="s">
        <v>143</v>
      </c>
      <c r="E109" s="10">
        <v>45826</v>
      </c>
      <c r="F109" s="7" t="s">
        <v>38</v>
      </c>
      <c r="G109" s="7" t="s">
        <v>39</v>
      </c>
      <c r="H109" s="6">
        <v>306.37</v>
      </c>
      <c r="I109" s="6">
        <v>283.39999999999998</v>
      </c>
      <c r="J109" s="6" t="s">
        <v>328</v>
      </c>
      <c r="K109" s="8">
        <v>2.58</v>
      </c>
      <c r="L109" s="8">
        <v>10</v>
      </c>
      <c r="M109" s="8">
        <v>11.7</v>
      </c>
      <c r="N109" s="1">
        <f t="shared" si="52"/>
        <v>9.1199999999999992</v>
      </c>
      <c r="O109" s="1">
        <f t="shared" si="53"/>
        <v>0.88000000000000078</v>
      </c>
      <c r="P109" s="1">
        <f t="shared" si="54"/>
        <v>9.649122807017553E-2</v>
      </c>
      <c r="Q109" s="1">
        <f t="shared" si="55"/>
        <v>256.05438596491223</v>
      </c>
      <c r="R109" s="8">
        <v>20.04</v>
      </c>
      <c r="S109" s="1">
        <f t="shared" si="56"/>
        <v>18.106315789473683</v>
      </c>
      <c r="T109" s="13">
        <v>6.4119999999999999</v>
      </c>
      <c r="U109" s="22">
        <v>24.75</v>
      </c>
      <c r="V109" s="12">
        <v>10.702</v>
      </c>
      <c r="W109" s="12">
        <v>0.54501957999171002</v>
      </c>
      <c r="X109" s="12">
        <v>5.0896664416198799E-2</v>
      </c>
      <c r="Y109" s="12">
        <v>7.4850344297603399</v>
      </c>
      <c r="Z109" s="12">
        <v>3.2052067521213203</v>
      </c>
      <c r="AA109" s="12">
        <v>13.778182752525401</v>
      </c>
      <c r="AB109" s="12">
        <v>0.80129037191629005</v>
      </c>
      <c r="AC109" s="12">
        <v>12.37935618243932</v>
      </c>
      <c r="AD109" s="12">
        <v>0.98345344999999995</v>
      </c>
      <c r="AE109" s="23">
        <v>4.9292228974180903</v>
      </c>
      <c r="AF109" s="1"/>
      <c r="AH109" s="22">
        <f t="shared" si="57"/>
        <v>1.3669263414917738</v>
      </c>
      <c r="AI109" s="12">
        <f t="shared" si="58"/>
        <v>0.59106447299575604</v>
      </c>
      <c r="AJ109" s="12">
        <f t="shared" si="59"/>
        <v>3.0101075576543488E-2</v>
      </c>
      <c r="AK109" s="12">
        <f t="shared" si="60"/>
        <v>2.8109895468512798E-3</v>
      </c>
      <c r="AL109" s="12">
        <f t="shared" si="61"/>
        <v>0.41339356480857642</v>
      </c>
      <c r="AM109" s="12">
        <f t="shared" si="62"/>
        <v>0.17702147633947179</v>
      </c>
      <c r="AN109" s="12">
        <f t="shared" si="63"/>
        <v>0.76096003807331736</v>
      </c>
      <c r="AO109" s="12">
        <f t="shared" si="64"/>
        <v>4.4254744103277462E-2</v>
      </c>
      <c r="AP109" s="12">
        <f t="shared" si="65"/>
        <v>0.68370375985799403</v>
      </c>
      <c r="AQ109" s="12">
        <f t="shared" si="66"/>
        <v>5.4315491977210625E-2</v>
      </c>
      <c r="AR109" s="23">
        <f t="shared" si="67"/>
        <v>0.27223776248748249</v>
      </c>
    </row>
    <row r="110" spans="1:45" ht="15.75" customHeight="1">
      <c r="A110" s="30" t="s">
        <v>329</v>
      </c>
      <c r="B110" s="30">
        <v>105</v>
      </c>
      <c r="C110" s="7" t="s">
        <v>330</v>
      </c>
      <c r="D110" s="4" t="s">
        <v>143</v>
      </c>
      <c r="E110" s="7"/>
      <c r="F110" s="7" t="s">
        <v>38</v>
      </c>
      <c r="G110" s="5" t="s">
        <v>165</v>
      </c>
      <c r="H110" s="6">
        <v>240.29</v>
      </c>
      <c r="I110" s="6">
        <v>225.64</v>
      </c>
      <c r="J110" s="6" t="s">
        <v>331</v>
      </c>
      <c r="K110" s="8">
        <v>2.59</v>
      </c>
      <c r="L110" s="8">
        <v>10</v>
      </c>
      <c r="M110" s="8">
        <v>11.98</v>
      </c>
      <c r="N110" s="1">
        <f t="shared" si="52"/>
        <v>9.39</v>
      </c>
      <c r="O110" s="1">
        <f t="shared" si="53"/>
        <v>0.60999999999999943</v>
      </c>
      <c r="P110" s="1">
        <f t="shared" si="54"/>
        <v>6.4962726304579277E-2</v>
      </c>
      <c r="Q110" s="1">
        <f t="shared" si="55"/>
        <v>210.9818104366347</v>
      </c>
      <c r="R110" s="8">
        <v>20.05</v>
      </c>
      <c r="S110" s="1">
        <f t="shared" si="56"/>
        <v>18.747497337593185</v>
      </c>
      <c r="T110" s="13">
        <v>6.4630000000000001</v>
      </c>
      <c r="U110" s="22">
        <v>38.72</v>
      </c>
      <c r="V110" s="12">
        <v>15.372</v>
      </c>
      <c r="W110" s="12">
        <v>0.235859415863724</v>
      </c>
      <c r="X110" s="12">
        <v>5.5554186511966003E-2</v>
      </c>
      <c r="Y110" s="12">
        <v>8.9423330173251596</v>
      </c>
      <c r="Z110" s="12">
        <v>2.7956160273298001</v>
      </c>
      <c r="AA110" s="12">
        <v>25.5564413967126</v>
      </c>
      <c r="AB110" s="12">
        <v>0.49969754474588796</v>
      </c>
      <c r="AC110" s="12">
        <v>26.100200443593302</v>
      </c>
      <c r="AD110" s="12">
        <v>10.230923000000001</v>
      </c>
      <c r="AE110" s="23">
        <v>1.50694702763654</v>
      </c>
      <c r="AF110" s="1"/>
      <c r="AH110" s="22">
        <f t="shared" si="57"/>
        <v>2.0653423389135361</v>
      </c>
      <c r="AI110" s="12">
        <f t="shared" si="58"/>
        <v>0.81994944302114869</v>
      </c>
      <c r="AJ110" s="12">
        <f t="shared" si="59"/>
        <v>1.2580848078893701E-2</v>
      </c>
      <c r="AK110" s="12">
        <f t="shared" si="60"/>
        <v>2.9632854728063713E-3</v>
      </c>
      <c r="AL110" s="12">
        <f t="shared" si="61"/>
        <v>0.47698809373311168</v>
      </c>
      <c r="AM110" s="12">
        <f t="shared" si="62"/>
        <v>0.14911942522183619</v>
      </c>
      <c r="AN110" s="12">
        <f t="shared" si="63"/>
        <v>1.3631921603458967</v>
      </c>
      <c r="AO110" s="12">
        <f t="shared" si="64"/>
        <v>2.6654093383647305E-2</v>
      </c>
      <c r="AP110" s="12">
        <f t="shared" si="65"/>
        <v>1.3921965142118571</v>
      </c>
      <c r="AQ110" s="12">
        <f t="shared" si="66"/>
        <v>0.54572206709876792</v>
      </c>
      <c r="AR110" s="23">
        <f t="shared" si="67"/>
        <v>8.0381237052625329E-2</v>
      </c>
    </row>
    <row r="111" spans="1:45" ht="15.75" customHeight="1">
      <c r="A111" s="30" t="s">
        <v>332</v>
      </c>
      <c r="B111" s="30">
        <v>106</v>
      </c>
      <c r="C111" s="7" t="s">
        <v>333</v>
      </c>
      <c r="D111" s="4" t="s">
        <v>143</v>
      </c>
      <c r="E111" s="10">
        <v>45826</v>
      </c>
      <c r="F111" s="7" t="s">
        <v>38</v>
      </c>
      <c r="G111" s="5" t="s">
        <v>165</v>
      </c>
      <c r="H111" s="6">
        <v>495.36</v>
      </c>
      <c r="I111" s="6">
        <v>482.31</v>
      </c>
      <c r="J111" s="6" t="s">
        <v>334</v>
      </c>
      <c r="K111" s="8">
        <v>2.6</v>
      </c>
      <c r="L111" s="8">
        <v>10.02</v>
      </c>
      <c r="M111" s="8">
        <v>10.62</v>
      </c>
      <c r="N111" s="1">
        <f t="shared" si="52"/>
        <v>8.02</v>
      </c>
      <c r="O111" s="1">
        <f t="shared" si="53"/>
        <v>2</v>
      </c>
      <c r="P111" s="1">
        <f t="shared" si="54"/>
        <v>0.24937655860349128</v>
      </c>
      <c r="Q111" s="1">
        <f t="shared" si="55"/>
        <v>362.03319201995009</v>
      </c>
      <c r="R111" s="8">
        <v>19.989999999999998</v>
      </c>
      <c r="S111" s="1">
        <f t="shared" si="56"/>
        <v>15.004962593516208</v>
      </c>
      <c r="T111" s="13">
        <v>6.1609999999999996</v>
      </c>
      <c r="U111" s="22">
        <v>23.46</v>
      </c>
      <c r="V111" s="12">
        <v>11.44</v>
      </c>
      <c r="W111" s="12">
        <v>0.31181230708419999</v>
      </c>
      <c r="X111" s="12">
        <v>5.6129818399573803E-2</v>
      </c>
      <c r="Y111" s="12">
        <v>10.2984885482973</v>
      </c>
      <c r="Z111" s="12">
        <v>3.7036725094030598</v>
      </c>
      <c r="AA111" s="12">
        <v>25.022757576982801</v>
      </c>
      <c r="AB111" s="12">
        <v>0.43737132207600804</v>
      </c>
      <c r="AC111" s="12">
        <v>24.5867563721206</v>
      </c>
      <c r="AD111" s="12">
        <v>13.0923832</v>
      </c>
      <c r="AE111" s="23">
        <v>1.5866275045903799</v>
      </c>
      <c r="AF111" s="1"/>
      <c r="AH111" s="22">
        <f t="shared" si="57"/>
        <v>1.5634827380467644</v>
      </c>
      <c r="AI111" s="12">
        <f t="shared" si="58"/>
        <v>0.76241442980626528</v>
      </c>
      <c r="AJ111" s="12">
        <f t="shared" si="59"/>
        <v>2.0780612090225213E-2</v>
      </c>
      <c r="AK111" s="12">
        <f t="shared" si="60"/>
        <v>3.7407503050909336E-3</v>
      </c>
      <c r="AL111" s="12">
        <f t="shared" si="61"/>
        <v>0.68633883517626215</v>
      </c>
      <c r="AM111" s="12">
        <f t="shared" si="62"/>
        <v>0.24682983954944701</v>
      </c>
      <c r="AN111" s="12">
        <f t="shared" si="63"/>
        <v>1.6676321197758521</v>
      </c>
      <c r="AO111" s="12">
        <f t="shared" si="64"/>
        <v>2.9148444679562246E-2</v>
      </c>
      <c r="AP111" s="12">
        <f t="shared" si="65"/>
        <v>1.6385749860346057</v>
      </c>
      <c r="AQ111" s="12">
        <f t="shared" si="66"/>
        <v>0.87253687694345528</v>
      </c>
      <c r="AR111" s="23">
        <f t="shared" si="67"/>
        <v>0.10574018393594511</v>
      </c>
    </row>
    <row r="112" spans="1:45" ht="15.75" customHeight="1">
      <c r="A112" s="30" t="s">
        <v>335</v>
      </c>
      <c r="B112" s="30">
        <v>107</v>
      </c>
      <c r="C112" s="7" t="s">
        <v>336</v>
      </c>
      <c r="D112" s="4" t="s">
        <v>143</v>
      </c>
      <c r="E112" s="10"/>
      <c r="F112" s="7" t="s">
        <v>38</v>
      </c>
      <c r="G112" s="5" t="s">
        <v>165</v>
      </c>
      <c r="H112" s="6">
        <v>433.03</v>
      </c>
      <c r="I112" s="6">
        <v>401.95</v>
      </c>
      <c r="J112" s="6" t="s">
        <v>337</v>
      </c>
      <c r="K112" s="8">
        <v>2.57</v>
      </c>
      <c r="L112" s="8">
        <v>10.01</v>
      </c>
      <c r="M112" s="8">
        <v>12.45</v>
      </c>
      <c r="N112" s="1">
        <f t="shared" si="52"/>
        <v>9.879999999999999</v>
      </c>
      <c r="O112" s="1">
        <f t="shared" si="53"/>
        <v>0.13000000000000078</v>
      </c>
      <c r="P112" s="1">
        <f t="shared" si="54"/>
        <v>1.3157894736842186E-2</v>
      </c>
      <c r="Q112" s="1">
        <f t="shared" si="55"/>
        <v>396.6611842105263</v>
      </c>
      <c r="R112" s="8">
        <v>19.989999999999998</v>
      </c>
      <c r="S112" s="1">
        <f t="shared" si="56"/>
        <v>19.726973684210524</v>
      </c>
      <c r="T112" s="13">
        <v>6.6529999999999996</v>
      </c>
      <c r="U112" s="22">
        <v>22.99</v>
      </c>
      <c r="V112" s="12">
        <v>11.132</v>
      </c>
      <c r="W112" s="12">
        <v>0.30836548939029401</v>
      </c>
      <c r="X112" s="12">
        <v>4.6453867130773596E-2</v>
      </c>
      <c r="Y112" s="12">
        <v>6.0850336158754201</v>
      </c>
      <c r="Z112" s="12">
        <v>2.6068282810489101</v>
      </c>
      <c r="AA112" s="12">
        <v>27.9925037778129</v>
      </c>
      <c r="AB112" s="12">
        <v>0.39705142791259596</v>
      </c>
      <c r="AC112" s="12">
        <v>20.033044894588599</v>
      </c>
      <c r="AD112" s="12">
        <v>10.415608050755122</v>
      </c>
      <c r="AE112" s="23">
        <v>1.27692029543236</v>
      </c>
      <c r="AF112" s="1"/>
      <c r="AH112" s="22">
        <f t="shared" si="57"/>
        <v>1.1654093713523428</v>
      </c>
      <c r="AI112" s="12">
        <f t="shared" si="58"/>
        <v>0.56430348507587136</v>
      </c>
      <c r="AJ112" s="12">
        <f t="shared" si="59"/>
        <v>1.563166729608961E-2</v>
      </c>
      <c r="AK112" s="12">
        <f t="shared" si="60"/>
        <v>2.3548400213031805E-3</v>
      </c>
      <c r="AL112" s="12">
        <f t="shared" si="61"/>
        <v>0.30846260117160712</v>
      </c>
      <c r="AM112" s="12">
        <f t="shared" si="62"/>
        <v>0.13214537225927442</v>
      </c>
      <c r="AN112" s="12">
        <f t="shared" si="63"/>
        <v>1.4189963562539807</v>
      </c>
      <c r="AO112" s="12">
        <f t="shared" si="64"/>
        <v>2.0127336015579322E-2</v>
      </c>
      <c r="AP112" s="12">
        <f t="shared" si="65"/>
        <v>1.0155153656753269</v>
      </c>
      <c r="AQ112" s="12">
        <f t="shared" si="66"/>
        <v>0.52798813530591249</v>
      </c>
      <c r="AR112" s="23">
        <f t="shared" si="67"/>
        <v>6.4729659798472144E-2</v>
      </c>
    </row>
    <row r="113" spans="1:44" ht="15.75" customHeight="1">
      <c r="A113" s="30" t="s">
        <v>338</v>
      </c>
      <c r="B113" s="30">
        <v>108</v>
      </c>
      <c r="C113" s="7" t="s">
        <v>339</v>
      </c>
      <c r="D113" s="4" t="s">
        <v>143</v>
      </c>
      <c r="E113" s="10">
        <v>45824</v>
      </c>
      <c r="F113" s="7" t="s">
        <v>38</v>
      </c>
      <c r="G113" s="5" t="s">
        <v>165</v>
      </c>
      <c r="H113" s="6">
        <v>302.70999999999998</v>
      </c>
      <c r="I113" s="6">
        <v>273.91000000000003</v>
      </c>
      <c r="J113" s="6" t="s">
        <v>204</v>
      </c>
      <c r="K113" s="8">
        <v>2.58</v>
      </c>
      <c r="L113" s="8">
        <v>10</v>
      </c>
      <c r="M113" s="8">
        <v>9.8800000000000008</v>
      </c>
      <c r="N113" s="1">
        <f t="shared" si="52"/>
        <v>7.3000000000000007</v>
      </c>
      <c r="O113" s="1">
        <f t="shared" si="53"/>
        <v>2.6999999999999993</v>
      </c>
      <c r="P113" s="1">
        <f t="shared" si="54"/>
        <v>0.36986301369863001</v>
      </c>
      <c r="Q113" s="1">
        <f t="shared" si="55"/>
        <v>172.60082191780825</v>
      </c>
      <c r="R113" s="8">
        <v>20.010000000000002</v>
      </c>
      <c r="S113" s="1">
        <f t="shared" si="56"/>
        <v>12.609041095890413</v>
      </c>
      <c r="T113" s="13">
        <v>6.8540000000000001</v>
      </c>
      <c r="U113" s="22">
        <v>22.84</v>
      </c>
      <c r="V113" s="12">
        <v>14.94</v>
      </c>
      <c r="W113" s="12">
        <v>0.249302544822364</v>
      </c>
      <c r="X113" s="12">
        <v>4.72898148429396E-2</v>
      </c>
      <c r="Y113" s="12">
        <v>12.006707865940299</v>
      </c>
      <c r="Z113" s="12">
        <v>4.4109531485450599</v>
      </c>
      <c r="AA113" s="12">
        <v>27.045651520435602</v>
      </c>
      <c r="AB113" s="12">
        <v>0.62147076585480598</v>
      </c>
      <c r="AC113" s="12">
        <v>29.641870430839997</v>
      </c>
      <c r="AD113" s="12">
        <v>21.311858361434602</v>
      </c>
      <c r="AE113" s="23">
        <v>1.219882603991006</v>
      </c>
      <c r="AF113" s="1"/>
      <c r="AH113" s="22">
        <f t="shared" si="57"/>
        <v>1.8113986485018356</v>
      </c>
      <c r="AI113" s="12">
        <f t="shared" si="58"/>
        <v>1.184864089694283</v>
      </c>
      <c r="AJ113" s="12">
        <f t="shared" si="59"/>
        <v>1.9771729105048094E-2</v>
      </c>
      <c r="AK113" s="12">
        <f t="shared" si="60"/>
        <v>3.750468769457217E-3</v>
      </c>
      <c r="AL113" s="12">
        <f t="shared" si="61"/>
        <v>0.95223005259722493</v>
      </c>
      <c r="AM113" s="12">
        <f t="shared" si="62"/>
        <v>0.34982463099297018</v>
      </c>
      <c r="AN113" s="12">
        <f t="shared" si="63"/>
        <v>2.1449411826606246</v>
      </c>
      <c r="AO113" s="12">
        <f t="shared" si="64"/>
        <v>4.9287710391978823E-2</v>
      </c>
      <c r="AP113" s="12">
        <f t="shared" si="65"/>
        <v>2.3508425585591111</v>
      </c>
      <c r="AQ113" s="12">
        <f t="shared" si="66"/>
        <v>1.6902045285886684</v>
      </c>
      <c r="AR113" s="23">
        <f t="shared" si="67"/>
        <v>9.674665937829284E-2</v>
      </c>
    </row>
    <row r="114" spans="1:44" ht="15.75" customHeight="1" thickBot="1">
      <c r="A114" s="30" t="s">
        <v>340</v>
      </c>
      <c r="B114" s="30">
        <v>109</v>
      </c>
      <c r="C114" s="7" t="s">
        <v>341</v>
      </c>
      <c r="D114" s="4" t="s">
        <v>143</v>
      </c>
      <c r="E114" s="10">
        <v>45826</v>
      </c>
      <c r="F114" s="7" t="s">
        <v>38</v>
      </c>
      <c r="G114" s="5" t="s">
        <v>165</v>
      </c>
      <c r="H114" s="6">
        <v>346.75</v>
      </c>
      <c r="I114" s="6">
        <v>321.39999999999998</v>
      </c>
      <c r="J114" s="6" t="s">
        <v>342</v>
      </c>
      <c r="K114" s="8">
        <v>2.59</v>
      </c>
      <c r="L114" s="8">
        <v>10.02</v>
      </c>
      <c r="M114" s="8">
        <v>9.8800000000000008</v>
      </c>
      <c r="N114" s="1">
        <f t="shared" si="52"/>
        <v>7.2900000000000009</v>
      </c>
      <c r="O114" s="1">
        <f t="shared" si="53"/>
        <v>2.7299999999999986</v>
      </c>
      <c r="P114" s="1">
        <f t="shared" si="54"/>
        <v>0.37448559670781872</v>
      </c>
      <c r="Q114" s="1">
        <f t="shared" si="55"/>
        <v>201.04032921810708</v>
      </c>
      <c r="R114" s="8">
        <v>20</v>
      </c>
      <c r="S114" s="1">
        <f t="shared" si="56"/>
        <v>12.510288065843627</v>
      </c>
      <c r="T114" s="13">
        <v>6.18</v>
      </c>
      <c r="U114" s="26">
        <v>29.48</v>
      </c>
      <c r="V114" s="27">
        <v>9.4309999999999992</v>
      </c>
      <c r="W114" s="27">
        <v>0.45123253327157997</v>
      </c>
      <c r="X114" s="27">
        <v>5.7945760011344001E-2</v>
      </c>
      <c r="Y114" s="27">
        <v>10.496036704221</v>
      </c>
      <c r="Z114" s="27">
        <v>2.6985387102717402</v>
      </c>
      <c r="AA114" s="27">
        <v>25.555043303697001</v>
      </c>
      <c r="AB114" s="27">
        <v>0.68407900654008602</v>
      </c>
      <c r="AC114" s="27">
        <v>23.085418210282501</v>
      </c>
      <c r="AD114" s="27">
        <v>16.0860768163794</v>
      </c>
      <c r="AE114" s="28">
        <v>1.7747451197433</v>
      </c>
      <c r="AF114" s="1"/>
      <c r="AH114" s="26">
        <f t="shared" si="57"/>
        <v>2.3564605263157885</v>
      </c>
      <c r="AI114" s="27">
        <f t="shared" si="58"/>
        <v>0.75385953947368378</v>
      </c>
      <c r="AJ114" s="27">
        <f t="shared" si="59"/>
        <v>3.6068916310853252E-2</v>
      </c>
      <c r="AK114" s="27">
        <f t="shared" si="60"/>
        <v>4.6318485798541404E-3</v>
      </c>
      <c r="AL114" s="27">
        <f t="shared" si="61"/>
        <v>0.83899240760713878</v>
      </c>
      <c r="AM114" s="27">
        <f t="shared" si="62"/>
        <v>0.21570556138027389</v>
      </c>
      <c r="AN114" s="27">
        <f t="shared" si="63"/>
        <v>2.042722211446832</v>
      </c>
      <c r="AO114" s="27">
        <f t="shared" si="64"/>
        <v>5.4681315325408167E-2</v>
      </c>
      <c r="AP114" s="27">
        <f t="shared" si="65"/>
        <v>1.8453146793087649</v>
      </c>
      <c r="AQ114" s="27">
        <f t="shared" si="66"/>
        <v>1.2858278507829581</v>
      </c>
      <c r="AR114" s="28">
        <f t="shared" si="67"/>
        <v>0.14186285003211241</v>
      </c>
    </row>
    <row r="115" spans="1:44" ht="15.75" customHeight="1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44" ht="15.75" customHeight="1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44" ht="15.75" customHeight="1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44" ht="15.75" customHeight="1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44" ht="15.75" customHeight="1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44" ht="15.75" customHeight="1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44" ht="15.75" customHeight="1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44" ht="15.75" customHeight="1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44" ht="15.75" customHeight="1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44" ht="15.75" customHeight="1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44" ht="15.75" customHeight="1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44" ht="15.75" customHeight="1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44" ht="15.75" customHeight="1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44" ht="15.75" customHeight="1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1:33" ht="15.75" customHeight="1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1:33" ht="15.75" customHeight="1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1:33" ht="15.75" customHeight="1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1:33" ht="15.75" customHeight="1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1:33" ht="15.75" customHeight="1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1:33" ht="15.75" customHeight="1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1:33" ht="15.75" customHeight="1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1:33" ht="15.75" customHeight="1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1:33" ht="15.75" customHeight="1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1:33" ht="15.75" customHeight="1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1:33" ht="15.75" customHeight="1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1:33" ht="15.75" customHeight="1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1:33" ht="15.75" customHeight="1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1:33" ht="15.75" customHeight="1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1:33" ht="15.75" customHeight="1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1:33" ht="15.75" customHeight="1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1:33" ht="15.75" customHeight="1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1:33" ht="15.75" customHeight="1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1:33" ht="15.75" customHeight="1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1:33" ht="15.75" customHeight="1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1:33" ht="15.75" customHeight="1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1:33" ht="15.75" customHeight="1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1:33" ht="15.75" customHeight="1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1:33" ht="15.75" customHeight="1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1:33" ht="15.75" customHeight="1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1:33" ht="15.75" customHeight="1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1:33" ht="15.75" customHeight="1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1:33" ht="15.75" customHeight="1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1:33" ht="15.75" customHeight="1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1:33" ht="15.75" customHeight="1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1:33" ht="15.75" customHeight="1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1:33" ht="15.75" customHeight="1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1:33" ht="15.75" customHeight="1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1:33" ht="15.75" customHeight="1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1:33" ht="15.75" customHeight="1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1:33" ht="15.75" customHeight="1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1:33" ht="15.75" customHeight="1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1:33" ht="15.75" customHeight="1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1:33" ht="15.75" customHeight="1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1:33" ht="15.75" customHeight="1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1:33" ht="15.75" customHeight="1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1:33" ht="15.75" customHeight="1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1:33" ht="15.75" customHeight="1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1:33" ht="15.75" customHeight="1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1:33" ht="15.75" customHeight="1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1:33" ht="15.75" customHeight="1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1:33" ht="15.75" customHeight="1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1:33" ht="15.75" customHeight="1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1:33" ht="15.75" customHeight="1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1:33" ht="15.75" customHeight="1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1:33" ht="15.75" customHeight="1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1:33" ht="15.75" customHeight="1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1:33" ht="15.75" customHeight="1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1:33" ht="15.75" customHeight="1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1:33" ht="15.75" customHeight="1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1:33" ht="15.75" customHeight="1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1:33" ht="15.75" customHeight="1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1:33" ht="15.75" customHeight="1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1:33" ht="15.75" customHeight="1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1:33" ht="15.75" customHeight="1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1:33" ht="15.75" customHeight="1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1:33" ht="15.75" customHeight="1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1:33" ht="15.75" customHeight="1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1:33" ht="15.75" customHeight="1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1:33" ht="15.75" customHeight="1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1:33" ht="15.75" customHeight="1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1:33" ht="15.75" customHeight="1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1:33" ht="15.75" customHeight="1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1:33" ht="15.75" customHeight="1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1:33" ht="15.75" customHeight="1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1:33" ht="15.75" customHeight="1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1:33" ht="15.75" customHeight="1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1:33" ht="15.75" customHeight="1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1:33" ht="15.75" customHeight="1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1:33" ht="15.75" customHeight="1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1:33" ht="15.75" customHeight="1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1:33" ht="15.75" customHeight="1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1:33" ht="15.75" customHeight="1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1:33" ht="15.75" customHeight="1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1:33" ht="15.75" customHeight="1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1:33" ht="15.75" customHeight="1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1:33" ht="15.75" customHeight="1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1:33" ht="15.75" customHeight="1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1:33" ht="15.75" customHeight="1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1:33" ht="15.75" customHeight="1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1:33" ht="15.75" customHeight="1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1:33" ht="15.75" customHeight="1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1:33" ht="15.75" customHeight="1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1:33" ht="15.75" customHeight="1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1:33" ht="15.75" customHeight="1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1:33" ht="15.75" customHeight="1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1:33" ht="15.75" customHeight="1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1:33" ht="15.75" customHeight="1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1:33" ht="15.75" customHeight="1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1:33" ht="15.75" customHeight="1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1:33" ht="15.75" customHeight="1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1:33" ht="15.75" customHeight="1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1:33" ht="15.75" customHeight="1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1:33" ht="15.75" customHeight="1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1:33" ht="15.75" customHeight="1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1:33" ht="15.75" customHeight="1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1:33" ht="15.75" customHeight="1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1:33" ht="15.75" customHeight="1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1:33" ht="15.75" customHeight="1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1:33" ht="15.75" customHeight="1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1:33" ht="15.75" customHeight="1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1:33" ht="15.75" customHeight="1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1:33" ht="15.75" customHeight="1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1:33" ht="15.75" customHeight="1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1:33" ht="15.75" customHeight="1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1:33" ht="15.75" customHeight="1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1:33" ht="15.75" customHeight="1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1:33" ht="15.75" customHeight="1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1:33" ht="15.75" customHeight="1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1:33" ht="15.75" customHeight="1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1:33" ht="15.75" customHeight="1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1:33" ht="15.75" customHeight="1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1:33" ht="15.75" customHeight="1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1:33" ht="15.75" customHeight="1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1:33" ht="15.75" customHeight="1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1:33" ht="15.75" customHeight="1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1:33" ht="15.75" customHeight="1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1:33" ht="15.75" customHeight="1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1:33" ht="15.75" customHeight="1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1:33" ht="15.75" customHeight="1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1:33" ht="15.75" customHeight="1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1:33" ht="15.75" customHeight="1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1:33" ht="15.75" customHeight="1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1:33" ht="15.75" customHeight="1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1:33" ht="15.75" customHeight="1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1:33" ht="15.75" customHeight="1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1:33" ht="15.75" customHeight="1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1:33" ht="15.75" customHeight="1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1:33" ht="15.75" customHeight="1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1:33" ht="15.75" customHeight="1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1:33" ht="15.75" customHeight="1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1:33" ht="15.75" customHeight="1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1:33" ht="15.75" customHeight="1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1:33" ht="15.75" customHeight="1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1:33" ht="15.75" customHeight="1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1:33" ht="15.75" customHeight="1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1:33" ht="15.75" customHeight="1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1:33" ht="15.75" customHeight="1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1:33" ht="15.75" customHeight="1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1:33" ht="15.75" customHeight="1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1:33" ht="15.75" customHeight="1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1:33" ht="15.75" customHeight="1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1:33" ht="15.75" customHeight="1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1:33" ht="15.75" customHeight="1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1:33" ht="15.75" customHeight="1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1:33" ht="15.75" customHeight="1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1:33" ht="15.75" customHeight="1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1:33" ht="15.75" customHeight="1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1:33" ht="15.75" customHeight="1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1:33" ht="15.75" customHeight="1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1:33" ht="15.75" customHeight="1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1:33" ht="15.75" customHeight="1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1:33" ht="15.75" customHeight="1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1:33" ht="15.75" customHeight="1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1:33" ht="15.75" customHeight="1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1:33" ht="15.75" customHeight="1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1:33" ht="15.75" customHeight="1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1:33" ht="15.75" customHeight="1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1:33" ht="15.75" customHeight="1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1:33" ht="15.75" customHeight="1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1:33" ht="15.75" customHeight="1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1:33" ht="15.75" customHeight="1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1:33" ht="15.75" customHeight="1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1:33" ht="15.75" customHeight="1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1:33" ht="15.75" customHeight="1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1:33" ht="15.75" customHeight="1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1:33" ht="15.75" customHeight="1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1:33" ht="15.75" customHeight="1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1:33" ht="15.75" customHeight="1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1:33" ht="15.75" customHeight="1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1:33" ht="15.75" customHeight="1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1:33" ht="15.75" customHeight="1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1:33" ht="15.75" customHeight="1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1:33" ht="15.75" customHeight="1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1:33" ht="15.75" customHeight="1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1:33" ht="15.75" customHeight="1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1:33" ht="15.75" customHeight="1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1:33" ht="15.75" customHeight="1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1:33" ht="15.75" customHeight="1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1:33" ht="15.75" customHeight="1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1:33" ht="15.75" customHeight="1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1:33" ht="15.75" customHeight="1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1:33" ht="15.75" customHeight="1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1:33" ht="15.75" customHeight="1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1:33" ht="15.75" customHeight="1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1:33" ht="15.75" customHeight="1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1:33" ht="15.75" customHeight="1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1:33" ht="15.75" customHeight="1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1:33" ht="15.75" customHeight="1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1:33" ht="15.75" customHeight="1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1:33" ht="15.75" customHeight="1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1:33" ht="15.75" customHeight="1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1:33" ht="15.75" customHeight="1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1:33" ht="15.75" customHeight="1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1:33" ht="15.75" customHeight="1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1:33" ht="15.75" customHeight="1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1:33" ht="15.75" customHeight="1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1:33" ht="15.75" customHeight="1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1:33" ht="15.75" customHeight="1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1:33" ht="15.75" customHeight="1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1:33" ht="15.75" customHeight="1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1:33" ht="15.75" customHeight="1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1:33" ht="15.75" customHeight="1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1:33" ht="15.75" customHeight="1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1:33" ht="15.75" customHeight="1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1:33" ht="15.75" customHeight="1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1:33" ht="15.75" customHeight="1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1:33" ht="15.75" customHeight="1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1:33" ht="15.75" customHeight="1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1:33" ht="15.75" customHeight="1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1:33" ht="15.75" customHeight="1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1:33" ht="15.75" customHeight="1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1:33" ht="15.75" customHeight="1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1:33" ht="15.75" customHeight="1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1:33" ht="15.75" customHeight="1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1:33" ht="15.75" customHeight="1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1:33" ht="15.75" customHeight="1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1:33" ht="15.75" customHeight="1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1:33" ht="15.75" customHeight="1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1:33" ht="15.75" customHeight="1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1:33" ht="15.75" customHeight="1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1:33" ht="15.75" customHeight="1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1:33" ht="15.75" customHeight="1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1:33" ht="15.75" customHeight="1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1:33" ht="15.75" customHeight="1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1:33" ht="15.75" customHeight="1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1:33" ht="15.75" customHeight="1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1:33" ht="15.75" customHeight="1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1:33" ht="15.75" customHeight="1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1:33" ht="15.75" customHeight="1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1:33" ht="15.75" customHeight="1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1:33" ht="15.75" customHeight="1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1:33" ht="15.75" customHeight="1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1:33" ht="15.75" customHeight="1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1:33" ht="15.75" customHeight="1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1:33" ht="15.75" customHeight="1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1:33" ht="15.75" customHeight="1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1:33" ht="15.75" customHeight="1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1:33" ht="15.75" customHeight="1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1:33" ht="15.75" customHeight="1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1:33" ht="15.75" customHeight="1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1:33" ht="15.75" customHeight="1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1:33" ht="15.75" customHeight="1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1:33" ht="15.75" customHeight="1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1:33" ht="15.75" customHeight="1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1:33" ht="15.75" customHeight="1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1:33" ht="15.75" customHeight="1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1:33" ht="15.75" customHeight="1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1:33" ht="15.75" customHeight="1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1:33" ht="15.75" customHeight="1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1:33" ht="15.75" customHeight="1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1:33" ht="15.75" customHeight="1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1:33" ht="15.75" customHeight="1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1:33" ht="15.75" customHeight="1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1:33" ht="15.75" customHeight="1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1:33" ht="15.75" customHeight="1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1:33" ht="15.75" customHeight="1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1:33" ht="15.75" customHeight="1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1:33" ht="15.75" customHeight="1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1:33" ht="15.75" customHeight="1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1:33" ht="15.75" customHeight="1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1:33" ht="15.75" customHeight="1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1:33" ht="15.75" customHeight="1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1:33" ht="15.75" customHeight="1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1:33" ht="15.75" customHeight="1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1:33" ht="15.75" customHeight="1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1:33" ht="15.75" customHeight="1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1:33" ht="15.75" customHeight="1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1:33" ht="15.75" customHeight="1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1:33" ht="15.75" customHeight="1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1:33" ht="15.75" customHeight="1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1:33" ht="15.75" customHeight="1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1:33" ht="15.75" customHeight="1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1:33" ht="15.75" customHeight="1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1:33" ht="15.75" customHeight="1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1:33" ht="15.75" customHeight="1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1:33" ht="15.75" customHeight="1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1:33" ht="15.75" customHeight="1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1:33" ht="15.75" customHeight="1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1:33" ht="15.75" customHeight="1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1:33" ht="15.75" customHeight="1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1:33" ht="15.75" customHeight="1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1:33" ht="15.75" customHeight="1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1:33" ht="15.75" customHeight="1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1:33" ht="15.75" customHeight="1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1:33" ht="15.75" customHeight="1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1:33" ht="15.75" customHeight="1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1:33" ht="15.75" customHeight="1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1:33" ht="15.75" customHeight="1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1:33" ht="15.75" customHeight="1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1:33" ht="15.75" customHeight="1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1:33" ht="15.75" customHeight="1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1:33" ht="15.75" customHeight="1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1:33" ht="15.75" customHeight="1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1:33" ht="15.75" customHeight="1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1:33" ht="15.75" customHeight="1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1:33" ht="15.75" customHeight="1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1:33" ht="15.75" customHeight="1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1:33" ht="15.75" customHeight="1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1:33" ht="15.75" customHeight="1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1:33" ht="15.75" customHeight="1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1:33" ht="15.75" customHeight="1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1:33" ht="15.75" customHeight="1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1:33" ht="15.75" customHeight="1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1:33" ht="15.75" customHeight="1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1:33" ht="15.75" customHeight="1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1:33" ht="15.75" customHeight="1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1:33" ht="15.75" customHeight="1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1:33" ht="15.75" customHeight="1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1:33" ht="15.75" customHeight="1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1:33" ht="15.75" customHeight="1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1:33" ht="15.75" customHeight="1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1:33" ht="15.75" customHeight="1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1:33" ht="15.75" customHeight="1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1:33" ht="15.75" customHeight="1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1:33" ht="15.75" customHeight="1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1:33" ht="15.75" customHeight="1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1:33" ht="15.75" customHeight="1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1:33" ht="15.75" customHeight="1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1:33" ht="15.75" customHeight="1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1:33" ht="15.75" customHeight="1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1:33" ht="15.75" customHeight="1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1:33" ht="15.75" customHeight="1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1:33" ht="15.75" customHeight="1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1:33" ht="15.75" customHeight="1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1:33" ht="15.75" customHeight="1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1:33" ht="15.75" customHeight="1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1:33" ht="15.75" customHeight="1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1:33" ht="15.75" customHeight="1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1:33" ht="15.75" customHeight="1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1:33" ht="15.75" customHeight="1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1:33" ht="15.75" customHeight="1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1:33" ht="15.75" customHeight="1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1:33" ht="15.75" customHeight="1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1:33" ht="15.75" customHeight="1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1:33" ht="15.75" customHeight="1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1:33" ht="15.75" customHeight="1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1:33" ht="15.75" customHeight="1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1:33" ht="15.75" customHeight="1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1:33" ht="15.75" customHeight="1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1:33" ht="15.75" customHeight="1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1:33" ht="15.75" customHeight="1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1:33" ht="15.75" customHeight="1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1:33" ht="15.75" customHeight="1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1:33" ht="15.75" customHeight="1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1:33" ht="15.75" customHeight="1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1:33" ht="15.75" customHeight="1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1:33" ht="15.75" customHeight="1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1:33" ht="15.75" customHeight="1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1:33" ht="15.75" customHeight="1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1:33" ht="15.75" customHeight="1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1:33" ht="15.75" customHeight="1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1:33" ht="15.75" customHeight="1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1:33" ht="15.75" customHeight="1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1:33" ht="15.75" customHeight="1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1:33" ht="15.75" customHeight="1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1:33" ht="15.75" customHeight="1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1:33" ht="15.75" customHeight="1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1:33" ht="15.75" customHeight="1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1:33" ht="15.75" customHeight="1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1:33" ht="15.75" customHeight="1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1:33" ht="15.75" customHeight="1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1:33" ht="15.75" customHeight="1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1:33" ht="15.75" customHeight="1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1:33" ht="15.75" customHeight="1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1:33" ht="15.75" customHeight="1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1:33" ht="15.75" customHeight="1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1:33" ht="15.75" customHeight="1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1:33" ht="15.75" customHeight="1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1:33" ht="15.75" customHeight="1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1:33" ht="15.75" customHeight="1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1:33" ht="15.75" customHeight="1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1:33" ht="15.75" customHeight="1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1:33" ht="15.75" customHeight="1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1:33" ht="15.75" customHeight="1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1:33" ht="15.75" customHeight="1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1:33" ht="15.75" customHeight="1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1:33" ht="15.75" customHeight="1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1:33" ht="15.75" customHeight="1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1:33" ht="15.75" customHeight="1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1:33" ht="15.75" customHeight="1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1:33" ht="15.75" customHeight="1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1:33" ht="15.75" customHeight="1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1:33" ht="15.75" customHeight="1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1:33" ht="15.75" customHeight="1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1:33" ht="15.75" customHeight="1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1:33" ht="15.75" customHeight="1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1:33" ht="15.75" customHeight="1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1:33" ht="15.75" customHeight="1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1:33" ht="15.75" customHeight="1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1:33" ht="15.75" customHeight="1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1:33" ht="15.75" customHeight="1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1:33" ht="15.75" customHeight="1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1:33" ht="15.75" customHeight="1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1:33" ht="15.75" customHeight="1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1:33" ht="15.75" customHeight="1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1:33" ht="15.75" customHeight="1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1:33" ht="15.75" customHeight="1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1:33" ht="15.75" customHeight="1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1:33" ht="15.75" customHeight="1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1:33" ht="15.75" customHeight="1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1:33" ht="15.75" customHeight="1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1:33" ht="15.75" customHeight="1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1:33" ht="15.75" customHeight="1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1:33" ht="15.75" customHeight="1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1:33" ht="15.75" customHeight="1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1:33" ht="15.75" customHeight="1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1:33" ht="15.75" customHeight="1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1:33" ht="15.75" customHeight="1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1:33" ht="15.75" customHeight="1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1:33" ht="15.75" customHeight="1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1:33" ht="15.75" customHeight="1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1:33" ht="15.75" customHeight="1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1:33" ht="15.75" customHeight="1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1:33" ht="15.75" customHeight="1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1:33" ht="15.75" customHeight="1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1:33" ht="15.75" customHeight="1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1:33" ht="15.75" customHeight="1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1:33" ht="15.75" customHeight="1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1:33" ht="15.75" customHeight="1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1:33" ht="15.75" customHeight="1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1:33" ht="15.75" customHeight="1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1:33" ht="15.75" customHeight="1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1:33" ht="15.75" customHeight="1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1:33" ht="15.75" customHeight="1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1:33" ht="15.75" customHeight="1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1:33" ht="15.75" customHeight="1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1:33" ht="15.75" customHeight="1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1:33" ht="15.75" customHeight="1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1:33" ht="15.75" customHeight="1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1:33" ht="15.75" customHeight="1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1:33" ht="15.75" customHeight="1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1:33" ht="15.75" customHeight="1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1:33" ht="15.75" customHeight="1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1:33" ht="15.75" customHeight="1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1:33" ht="15.75" customHeight="1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1:33" ht="15.75" customHeight="1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1:33" ht="15.75" customHeight="1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1:33" ht="15.75" customHeight="1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1:33" ht="15.75" customHeight="1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1:33" ht="15.75" customHeight="1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1:33" ht="15.75" customHeight="1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1:33" ht="15.75" customHeight="1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1:33" ht="15.75" customHeight="1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1:33" ht="15.75" customHeight="1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1:33" ht="15.75" customHeight="1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1:33" ht="15.75" customHeight="1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1:33" ht="15.75" customHeight="1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1:33" ht="15.75" customHeight="1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1:33" ht="15.75" customHeight="1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1:33" ht="15.75" customHeight="1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1:33" ht="15.75" customHeight="1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1:33" ht="15.75" customHeight="1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1:33" ht="15.75" customHeight="1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1:33" ht="15.75" customHeight="1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1:33" ht="15.75" customHeight="1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1:33" ht="15.75" customHeight="1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1:33" ht="15.75" customHeight="1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1:33" ht="15.75" customHeight="1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1:33" ht="15.75" customHeight="1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1:33" ht="15.75" customHeight="1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1:33" ht="15.75" customHeight="1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1:33" ht="15.75" customHeight="1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1:33" ht="15.75" customHeight="1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1:33" ht="15.75" customHeight="1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1:33" ht="15.75" customHeight="1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1:33" ht="15.75" customHeight="1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1:33" ht="15.75" customHeight="1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1:33" ht="15.75" customHeight="1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1:33" ht="15.75" customHeight="1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1:33" ht="15.75" customHeight="1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1:33" ht="15.75" customHeight="1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1:33" ht="15.75" customHeight="1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1:33" ht="15.75" customHeight="1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1:33" ht="15.75" customHeight="1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1:33" ht="15.75" customHeight="1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1:33" ht="15.75" customHeight="1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1:33" ht="15.75" customHeight="1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1:33" ht="15.75" customHeight="1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1:33" ht="15.75" customHeight="1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1:33" ht="15.75" customHeight="1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1:33" ht="15.75" customHeight="1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1:33" ht="15.75" customHeight="1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1:33" ht="15.75" customHeight="1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1:33" ht="15.75" customHeight="1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1:33" ht="15.75" customHeight="1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1:33" ht="15.75" customHeight="1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1:33" ht="15.75" customHeight="1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1:33" ht="15.75" customHeight="1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1:33" ht="15.75" customHeight="1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1:33" ht="15.75" customHeight="1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1:33" ht="15.75" customHeight="1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1:33" ht="15.75" customHeight="1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1:33" ht="15.75" customHeight="1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1:33" ht="15.75" customHeight="1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1:33" ht="15.75" customHeight="1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1:33" ht="15.75" customHeight="1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1:33" ht="15.75" customHeight="1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1:33" ht="15.75" customHeight="1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1:33" ht="15.75" customHeight="1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1:33" ht="15.75" customHeight="1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1:33" ht="15.75" customHeight="1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1:33" ht="15.75" customHeight="1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1:33" ht="15.75" customHeight="1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1:33" ht="15.75" customHeight="1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1:33" ht="15.75" customHeight="1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1:33" ht="15.75" customHeight="1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1:33" ht="15.75" customHeight="1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1:33" ht="15.75" customHeight="1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1:33" ht="15.75" customHeight="1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1:33" ht="15.75" customHeight="1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1:33" ht="15.75" customHeight="1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1:33" ht="15.75" customHeight="1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1:33" ht="15.75" customHeight="1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1:33" ht="15.75" customHeight="1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1:33" ht="15.75" customHeight="1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1:33" ht="15.75" customHeight="1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1:33" ht="15.75" customHeight="1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1:33" ht="15.75" customHeight="1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1:33" ht="15.75" customHeight="1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1:33" ht="15.75" customHeight="1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1:33" ht="15.75" customHeight="1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1:33" ht="15.75" customHeight="1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1:33" ht="15.75" customHeight="1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1:33" ht="15.75" customHeight="1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1:33" ht="15.75" customHeight="1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1:33" ht="15.75" customHeight="1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1:33" ht="15.75" customHeight="1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1:33" ht="15.75" customHeight="1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1:33" ht="15.75" customHeight="1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1:33" ht="15.75" customHeight="1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1:33" ht="15.75" customHeight="1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1:33" ht="15.75" customHeight="1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1:33" ht="15.75" customHeight="1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1:33" ht="15.75" customHeight="1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1:33" ht="15.75" customHeight="1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1:33" ht="15.75" customHeight="1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1:33" ht="15.75" customHeight="1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1:33" ht="15.75" customHeight="1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1:33" ht="15.75" customHeight="1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1:33" ht="15.75" customHeight="1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1:33" ht="15.75" customHeight="1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1:33" ht="15.75" customHeight="1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1:33" ht="15.75" customHeight="1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1:33" ht="15.75" customHeight="1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1:33" ht="15.75" customHeight="1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1:33" ht="15.75" customHeight="1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1:33" ht="15.75" customHeight="1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1:33" ht="15.75" customHeight="1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1:33" ht="15.75" customHeight="1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1:33" ht="15.75" customHeight="1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1:33" ht="15.75" customHeight="1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1:33" ht="15.75" customHeight="1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1:33" ht="15.75" customHeight="1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1:33" ht="15.75" customHeight="1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1:33" ht="15.75" customHeight="1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1:33" ht="15.75" customHeight="1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1:33" ht="15.75" customHeight="1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1:33" ht="15.75" customHeight="1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1:33" ht="15.75" customHeight="1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1:33" ht="15.75" customHeight="1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1:33" ht="15.75" customHeight="1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1:33" ht="15.75" customHeight="1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1:33" ht="15.75" customHeight="1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1:33" ht="15.75" customHeight="1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1:33" ht="15.75" customHeight="1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1:33" ht="15.75" customHeight="1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1:33" ht="15.75" customHeight="1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1:33" ht="15.75" customHeight="1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1:33" ht="15.75" customHeight="1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1:33" ht="15.75" customHeight="1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1:33" ht="15.75" customHeight="1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1:33" ht="15.75" customHeight="1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1:33" ht="15.75" customHeight="1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1:33" ht="15.75" customHeight="1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1:33" ht="15.75" customHeight="1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1:33" ht="15.75" customHeight="1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1:33" ht="15.75" customHeight="1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1:33" ht="15.75" customHeight="1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1:33" ht="15.75" customHeight="1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1:33" ht="15.75" customHeight="1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1:33" ht="15.75" customHeight="1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1:33" ht="15.75" customHeight="1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1:33" ht="15.75" customHeight="1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1:33" ht="15.75" customHeight="1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1:33" ht="15.75" customHeight="1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1:33" ht="15.75" customHeight="1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1:33" ht="15.75" customHeight="1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1:33" ht="15.75" customHeight="1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1:33" ht="15.75" customHeight="1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1:33" ht="15.75" customHeight="1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1:33" ht="15.75" customHeight="1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1:33" ht="15.75" customHeight="1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1:33" ht="15.75" customHeight="1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1:33" ht="15.75" customHeight="1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1:33" ht="15.75" customHeight="1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1:33" ht="15.75" customHeight="1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1:33" ht="15.75" customHeight="1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1:33" ht="15.75" customHeight="1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1:33" ht="15.75" customHeight="1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1:33" ht="15.75" customHeight="1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1:33" ht="15.75" customHeight="1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1:33" ht="15.75" customHeight="1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1:33" ht="15.75" customHeight="1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1:33" ht="15.75" customHeight="1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1:33" ht="15.75" customHeight="1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1:33" ht="15.75" customHeight="1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1:33" ht="15.75" customHeight="1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1:33" ht="15.75" customHeight="1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1:33" ht="15.75" customHeight="1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1:33" ht="15.75" customHeight="1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1:33" ht="15.75" customHeight="1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1:33" ht="15.75" customHeight="1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1:33" ht="15.75" customHeight="1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1:33" ht="15.75" customHeight="1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1:33" ht="15.75" customHeight="1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1:33" ht="15.75" customHeight="1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1:33" ht="15.75" customHeight="1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1:33" ht="15.75" customHeight="1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1:33" ht="15.75" customHeight="1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1:33" ht="15.75" customHeight="1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1:33" ht="15.75" customHeight="1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1:33" ht="15.75" customHeight="1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1:33" ht="15.75" customHeight="1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1:33" ht="15.75" customHeight="1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1:33" ht="15.75" customHeight="1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1:33" ht="15.75" customHeight="1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1:33" ht="15.75" customHeight="1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1:33" ht="15.75" customHeight="1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1:33" ht="15.75" customHeight="1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1:33" ht="15.75" customHeight="1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1:33" ht="15.75" customHeight="1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1:33" ht="15.75" customHeight="1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1:33" ht="15.75" customHeight="1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1:33" ht="15.75" customHeight="1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1:33" ht="15.75" customHeight="1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1:33" ht="15.75" customHeight="1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1:33" ht="15.75" customHeight="1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1:33" ht="15.75" customHeight="1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1:33" ht="15.75" customHeight="1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1:33" ht="15.75" customHeight="1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1:33" ht="15.75" customHeight="1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1:33" ht="15.75" customHeight="1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1:33" ht="15.75" customHeight="1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1:33" ht="15.75" customHeight="1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1:33" ht="15.75" customHeight="1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1:33" ht="15.75" customHeight="1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1:33" ht="15.75" customHeight="1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1:33" ht="15.75" customHeight="1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1:33" ht="15.75" customHeight="1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1:33" ht="15.75" customHeight="1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1:33" ht="15.75" customHeight="1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1:33" ht="15.75" customHeight="1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1:33" ht="15.75" customHeight="1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1:33" ht="15.75" customHeight="1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1:33" ht="15.75" customHeight="1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1:33" ht="15.75" customHeight="1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1:33" ht="15.75" customHeight="1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1:33" ht="15.75" customHeight="1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1:33" ht="15.75" customHeight="1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1:33" ht="15.75" customHeight="1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1:33" ht="15.75" customHeight="1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1:33" ht="15.75" customHeight="1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1:33" ht="15.75" customHeight="1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1:33" ht="15.75" customHeight="1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1:33" ht="15.75" customHeight="1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1:33" ht="15.75" customHeight="1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1:33" ht="15.75" customHeight="1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1:33" ht="15.75" customHeight="1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1:33" ht="15.75" customHeight="1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1:33" ht="15.75" customHeight="1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1:33" ht="15.75" customHeight="1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1:33" ht="15.75" customHeight="1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1:33" ht="15.75" customHeight="1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1:33" ht="15.75" customHeight="1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1:33" ht="15.75" customHeight="1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1:33" ht="15.75" customHeight="1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1:33" ht="15.75" customHeight="1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1:33" ht="15.75" customHeight="1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1:33" ht="15.75" customHeight="1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1:33" ht="15.75" customHeight="1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1:33" ht="15.75" customHeight="1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1:33" ht="15.75" customHeight="1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1:33" ht="15.75" customHeight="1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1:33" ht="15.75" customHeight="1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1:33" ht="15.75" customHeight="1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1:33" ht="15.75" customHeight="1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1:33" ht="15.75" customHeight="1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1:33" ht="15.75" customHeight="1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1:33" ht="15.75" customHeight="1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1:33" ht="15.75" customHeight="1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1:33" ht="15.75" customHeight="1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1:33" ht="15.75" customHeight="1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1:33" ht="15.75" customHeight="1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1:33" ht="15.75" customHeight="1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1:33" ht="15.75" customHeight="1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1:33" ht="15.75" customHeight="1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1:33" ht="15.75" customHeight="1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1:33" ht="15.75" customHeight="1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1:33" ht="15.75" customHeight="1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1:33" ht="15.75" customHeight="1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1:33" ht="15.75" customHeight="1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1:33" ht="15.75" customHeight="1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1:33" ht="15.75" customHeight="1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1:33" ht="15.75" customHeight="1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1:33" ht="15.75" customHeight="1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1:33" ht="15.75" customHeight="1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1:33" ht="15.75" customHeight="1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1:33" ht="15.75" customHeight="1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1:33" ht="15.75" customHeight="1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1:33" ht="15.75" customHeight="1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1:33" ht="15.75" customHeight="1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1:33" ht="15.75" customHeight="1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1:33" ht="15.75" customHeight="1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1:33" ht="15.75" customHeight="1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1:33" ht="15.75" customHeight="1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1:33" ht="15.75" customHeight="1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1:33" ht="15.75" customHeight="1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1:33" ht="15.75" customHeight="1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1:33" ht="15.75" customHeight="1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1:33" ht="15.75" customHeight="1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1:33" ht="15.75" customHeight="1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1:33" ht="15.75" customHeight="1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1:33" ht="15.75" customHeight="1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1:33" ht="15.75" customHeight="1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1:33" ht="15.75" customHeight="1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1:33" ht="15.75" customHeight="1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1:33" ht="15.75" customHeight="1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1:33" ht="15.75" customHeight="1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1:33" ht="15.75" customHeight="1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1:33" ht="15.75" customHeight="1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1:33" ht="15.75" customHeight="1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1:33" ht="15.75" customHeight="1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1:33" ht="15.75" customHeight="1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1:33" ht="15.75" customHeight="1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1:33" ht="15.75" customHeight="1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1:33" ht="15.75" customHeight="1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1:33" ht="15.75" customHeight="1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1:33" ht="15.75" customHeight="1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1:33" ht="15.75" customHeight="1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1:33" ht="15.75" customHeight="1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1:33" ht="15.75" customHeight="1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1:33" ht="15.75" customHeight="1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1:33" ht="15.75" customHeight="1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1:33" ht="15.75" customHeight="1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1:33" ht="15.75" customHeight="1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1:33" ht="15.75" customHeight="1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1:33" ht="15.75" customHeight="1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1:33" ht="15.75" customHeight="1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1:33" ht="15.75" customHeight="1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1:33" ht="15.75" customHeight="1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1:33" ht="15.75" customHeight="1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1:33" ht="15.75" customHeight="1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1:33" ht="15.75" customHeight="1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1:33" ht="15.75" customHeight="1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1:33" ht="15.75" customHeight="1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1:33" ht="15.75" customHeight="1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1:33" ht="15.75" customHeight="1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1:33" ht="15.75" customHeight="1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1:33" ht="15.75" customHeight="1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1:33" ht="15.75" customHeight="1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1:33" ht="15.75" customHeight="1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1:33" ht="15.75" customHeight="1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1:33" ht="15.75" customHeight="1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1:33" ht="15.75" customHeight="1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1:33" ht="15.75" customHeight="1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1:33" ht="15.75" customHeight="1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1:33" ht="15.75" customHeight="1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1:33" ht="15.75" customHeight="1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1:33" ht="15.75" customHeight="1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1:33" ht="15.75" customHeight="1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1:33" ht="15.75" customHeight="1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1:33" ht="15.75" customHeight="1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1:33" ht="15.75" customHeight="1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1:33" ht="15.75" customHeight="1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1:33" ht="15.75" customHeight="1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1:33" ht="15.75" customHeight="1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1:33" ht="15.75" customHeight="1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1:33" ht="15.75" customHeight="1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1:33" ht="15.75" customHeight="1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1:33" ht="15.75" customHeight="1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1:33" ht="15.75" customHeight="1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1:33" ht="15.75" customHeight="1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1:33" ht="15.75" customHeight="1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1:33" ht="15.75" customHeight="1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1:33" ht="15.75" customHeight="1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1:33" ht="15.75" customHeight="1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1:33" ht="15.75" customHeight="1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1:33" ht="15.75" customHeight="1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1:33" ht="15.75" customHeight="1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1:33" ht="15.75" customHeight="1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1:33" ht="15.75" customHeight="1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1:33" ht="15.75" customHeight="1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1:33" ht="15.75" customHeight="1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1:33" ht="15.75" customHeight="1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1:33" ht="15.75" customHeight="1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1:33" ht="15.75" customHeight="1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1:33" ht="15.75" customHeight="1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1:33" ht="15.75" customHeight="1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1:33" ht="15.75" customHeight="1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1:33" ht="15.75" customHeight="1"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1:33" ht="15.75" customHeight="1"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1:33" ht="15.75" customHeight="1"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1:33" ht="15.75" customHeight="1"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1:33" ht="15.75" customHeight="1"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1:33" ht="15.75" customHeight="1"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1:33" ht="15.75" customHeight="1"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1:33" ht="15.75" customHeight="1"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1:33" ht="15.75" customHeight="1"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1:33" ht="15.75" customHeight="1"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1:33" ht="15.75" customHeight="1"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1:33" ht="15.75" customHeight="1"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1:33" ht="15.75" customHeight="1"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1:33" ht="15.75" customHeight="1"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1:33" ht="15.75" customHeight="1"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1:33" ht="15.75" customHeight="1"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1:33" ht="15.75" customHeight="1"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1:33" ht="15.75" customHeight="1"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1:33" ht="15.75" customHeight="1"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1:33" ht="15.75" customHeight="1"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1:33" ht="15.75" customHeight="1"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1:33" ht="15.75" customHeight="1"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1:33" ht="15.75" customHeight="1"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1:33" ht="15.75" customHeight="1"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1:33" ht="15.75" customHeight="1"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1:33" ht="15.75" customHeight="1"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1:33" ht="15.75" customHeight="1"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1:33" ht="15.75" customHeight="1"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1:33" ht="15.75" customHeight="1"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1:33" ht="15.75" customHeight="1"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1:33" ht="15.75" customHeight="1"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1:33" ht="15.75" customHeight="1"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1:33" ht="15.75" customHeight="1"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1:33" ht="15.75" customHeight="1"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1:33" ht="15.75" customHeight="1"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1:33" ht="15.75" customHeight="1"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1:33" ht="15.75" customHeight="1"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1:33" ht="15.75" customHeight="1"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1:33" ht="15.75" customHeight="1"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1:33" ht="15.75" customHeight="1"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1:33" ht="15.75" customHeight="1"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1:33" ht="15.75" customHeight="1"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1:33" ht="15.75" customHeight="1"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1:33" ht="15.75" customHeight="1"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1:33" ht="15.75" customHeight="1"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1:33" ht="15.75" customHeight="1"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1:33" ht="15.75" customHeight="1"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1:33" ht="15.75" customHeight="1"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1:33" ht="15.75" customHeight="1"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1:33" ht="15.75" customHeight="1"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1:33" ht="15.75" customHeight="1"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1:33" ht="15.75" customHeight="1"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1:33" ht="15.75" customHeight="1"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1:33" ht="15.75" customHeight="1"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1:33" ht="15.75" customHeight="1"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1:33" ht="15.75" customHeight="1"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1:33" ht="15.75" customHeight="1"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1:33" ht="15.75" customHeight="1"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1:33" ht="15.75" customHeight="1"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1:33" ht="15.75" customHeight="1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1:33" ht="15.75" customHeight="1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1:33" ht="15.75" customHeight="1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1:33" ht="15.75" customHeight="1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1:33" ht="15.75" customHeight="1"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1:33" ht="15.75" customHeight="1"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1:33" ht="15.75" customHeight="1"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1:33" ht="15.75" customHeight="1"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1:33" ht="15.75" customHeight="1"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1:33" ht="15.75" customHeight="1"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spans="11:33" ht="15.75" customHeight="1"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spans="11:33" ht="15.75" customHeight="1"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</sheetData>
  <mergeCells count="2">
    <mergeCell ref="U2:AE3"/>
    <mergeCell ref="AH2:AR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A4FB-814C-41B2-AF88-A5E9CB5AD32F}">
  <dimension ref="A1:P110"/>
  <sheetViews>
    <sheetView workbookViewId="0">
      <selection activeCell="E1" sqref="E1:E1048576"/>
    </sheetView>
  </sheetViews>
  <sheetFormatPr defaultColWidth="13.77734375" defaultRowHeight="14.4"/>
  <cols>
    <col min="1" max="1" width="11.5546875" style="36" bestFit="1" customWidth="1"/>
    <col min="2" max="2" width="11.88671875" style="36" bestFit="1" customWidth="1"/>
    <col min="3" max="3" width="11.33203125" style="36" bestFit="1" customWidth="1"/>
    <col min="4" max="4" width="12.33203125" style="36" bestFit="1" customWidth="1"/>
    <col min="5" max="5" width="7.44140625" style="36" bestFit="1" customWidth="1"/>
    <col min="6" max="7" width="5.5546875" style="36" bestFit="1" customWidth="1"/>
    <col min="8" max="8" width="4.5546875" style="36" bestFit="1" customWidth="1"/>
    <col min="9" max="9" width="4.6640625" style="36" bestFit="1" customWidth="1"/>
    <col min="10" max="12" width="5.5546875" style="36" bestFit="1" customWidth="1"/>
    <col min="13" max="13" width="4.5546875" style="36" bestFit="1" customWidth="1"/>
    <col min="14" max="16" width="5.5546875" style="36" bestFit="1" customWidth="1"/>
    <col min="17" max="16384" width="13.77734375" style="36"/>
  </cols>
  <sheetData>
    <row r="1" spans="1:16">
      <c r="A1" s="37" t="s">
        <v>6</v>
      </c>
      <c r="B1" s="37" t="s">
        <v>7</v>
      </c>
      <c r="C1" s="37" t="s">
        <v>9</v>
      </c>
      <c r="D1" s="37" t="s">
        <v>10</v>
      </c>
      <c r="E1" s="38" t="s">
        <v>344</v>
      </c>
      <c r="F1" s="39" t="s">
        <v>24</v>
      </c>
      <c r="G1" s="39" t="s">
        <v>25</v>
      </c>
      <c r="H1" s="39" t="s">
        <v>26</v>
      </c>
      <c r="I1" s="39" t="s">
        <v>27</v>
      </c>
      <c r="J1" s="39" t="s">
        <v>28</v>
      </c>
      <c r="K1" s="39" t="s">
        <v>29</v>
      </c>
      <c r="L1" s="39" t="s">
        <v>30</v>
      </c>
      <c r="M1" s="39" t="s">
        <v>31</v>
      </c>
      <c r="N1" s="39" t="s">
        <v>32</v>
      </c>
      <c r="O1" s="39" t="s">
        <v>33</v>
      </c>
      <c r="P1" s="39" t="s">
        <v>34</v>
      </c>
    </row>
    <row r="2" spans="1:16">
      <c r="A2" s="40" t="s">
        <v>36</v>
      </c>
      <c r="B2" s="40" t="s">
        <v>37</v>
      </c>
      <c r="C2" s="41" t="s">
        <v>38</v>
      </c>
      <c r="D2" s="41" t="s">
        <v>39</v>
      </c>
      <c r="E2" s="42">
        <v>6.6909999999999998</v>
      </c>
      <c r="F2" s="43">
        <v>12.99</v>
      </c>
      <c r="G2" s="43">
        <v>15.58</v>
      </c>
      <c r="H2" s="43">
        <v>0.41564807297872902</v>
      </c>
      <c r="I2" s="43">
        <v>0.265902418434938</v>
      </c>
      <c r="J2" s="43">
        <v>8.8651816117142399</v>
      </c>
      <c r="K2" s="43">
        <v>1.82729932488559</v>
      </c>
      <c r="L2" s="43">
        <v>19.742822891524</v>
      </c>
      <c r="M2" s="43">
        <v>1.05359739269139</v>
      </c>
      <c r="N2" s="43">
        <v>35.036787163397499</v>
      </c>
      <c r="O2" s="43">
        <v>1.4113893316046899</v>
      </c>
      <c r="P2" s="43">
        <v>1.79758898747551</v>
      </c>
    </row>
    <row r="3" spans="1:16">
      <c r="A3" s="40" t="s">
        <v>42</v>
      </c>
      <c r="B3" s="40" t="s">
        <v>37</v>
      </c>
      <c r="C3" s="41" t="s">
        <v>38</v>
      </c>
      <c r="D3" s="41" t="s">
        <v>39</v>
      </c>
      <c r="E3" s="42">
        <v>7.0490000000000004</v>
      </c>
      <c r="F3" s="43">
        <v>25.92</v>
      </c>
      <c r="G3" s="43">
        <v>17.79</v>
      </c>
      <c r="H3" s="43">
        <v>0.27993560260962302</v>
      </c>
      <c r="I3" s="43">
        <v>0.227417763592206</v>
      </c>
      <c r="J3" s="43">
        <v>10.353585311014999</v>
      </c>
      <c r="K3" s="43">
        <v>2.3872013741934901</v>
      </c>
      <c r="L3" s="43">
        <v>38.703957659942304</v>
      </c>
      <c r="M3" s="43">
        <v>0.69095027171002898</v>
      </c>
      <c r="N3" s="43">
        <v>34.3924177306438</v>
      </c>
      <c r="O3" s="43">
        <v>1.7626552961164599</v>
      </c>
      <c r="P3" s="43">
        <v>2.3846115695019803</v>
      </c>
    </row>
    <row r="4" spans="1:16">
      <c r="A4" s="40" t="s">
        <v>45</v>
      </c>
      <c r="B4" s="40" t="s">
        <v>37</v>
      </c>
      <c r="C4" s="41" t="s">
        <v>38</v>
      </c>
      <c r="D4" s="41" t="s">
        <v>39</v>
      </c>
      <c r="E4" s="42">
        <v>6.5250000000000004</v>
      </c>
      <c r="F4" s="43">
        <v>18.09</v>
      </c>
      <c r="G4" s="43">
        <v>12.25</v>
      </c>
      <c r="H4" s="43">
        <v>0.40449963211996798</v>
      </c>
      <c r="I4" s="43">
        <v>0.23262338346491301</v>
      </c>
      <c r="J4" s="43">
        <v>10.007483142321099</v>
      </c>
      <c r="K4" s="43">
        <v>1.45903291891474</v>
      </c>
      <c r="L4" s="43">
        <v>14.277869149242299</v>
      </c>
      <c r="M4" s="43">
        <v>0.72674004603381703</v>
      </c>
      <c r="N4" s="43">
        <v>24.996027401540299</v>
      </c>
      <c r="O4" s="43">
        <v>0.18736724641580998</v>
      </c>
      <c r="P4" s="43">
        <v>1.2958215314700698</v>
      </c>
    </row>
    <row r="5" spans="1:16">
      <c r="A5" s="40" t="s">
        <v>48</v>
      </c>
      <c r="B5" s="40" t="s">
        <v>37</v>
      </c>
      <c r="C5" s="41" t="s">
        <v>38</v>
      </c>
      <c r="D5" s="41" t="s">
        <v>39</v>
      </c>
      <c r="E5" s="42">
        <v>6.5220000000000002</v>
      </c>
      <c r="F5" s="43">
        <v>7.7839999999999998</v>
      </c>
      <c r="G5" s="43">
        <v>9.6229999999999993</v>
      </c>
      <c r="H5" s="43">
        <v>0.33557945934588002</v>
      </c>
      <c r="I5" s="43">
        <v>0.32784235783427795</v>
      </c>
      <c r="J5" s="43">
        <v>9.9504680786609008</v>
      </c>
      <c r="K5" s="43">
        <v>3.7551610978888901</v>
      </c>
      <c r="L5" s="43">
        <v>30.539142741040401</v>
      </c>
      <c r="M5" s="43">
        <v>0.72196663442487308</v>
      </c>
      <c r="N5" s="43">
        <v>20.023996311865801</v>
      </c>
      <c r="O5" s="43">
        <v>1.0430149860729401</v>
      </c>
      <c r="P5" s="43">
        <v>1.3722007388729098</v>
      </c>
    </row>
    <row r="6" spans="1:16">
      <c r="A6" s="40" t="s">
        <v>51</v>
      </c>
      <c r="B6" s="40" t="s">
        <v>37</v>
      </c>
      <c r="C6" s="41" t="s">
        <v>38</v>
      </c>
      <c r="D6" s="41" t="s">
        <v>39</v>
      </c>
      <c r="E6" s="42">
        <v>6.4420000000000002</v>
      </c>
      <c r="F6" s="43">
        <v>6.4770000000000003</v>
      </c>
      <c r="G6" s="43">
        <v>14.343999999999999</v>
      </c>
      <c r="H6" s="43">
        <v>0.284401978929606</v>
      </c>
      <c r="I6" s="43">
        <v>0.36600963017286603</v>
      </c>
      <c r="J6" s="43">
        <v>13.526154217652399</v>
      </c>
      <c r="K6" s="43">
        <v>2.47247228852045</v>
      </c>
      <c r="L6" s="43">
        <v>16.956714277934498</v>
      </c>
      <c r="M6" s="43">
        <v>0.74416892422916003</v>
      </c>
      <c r="N6" s="43">
        <v>17.802003061840399</v>
      </c>
      <c r="O6" s="43">
        <v>1.25319331985251</v>
      </c>
      <c r="P6" s="43">
        <v>0.84145242604936499</v>
      </c>
    </row>
    <row r="7" spans="1:16">
      <c r="A7" s="40" t="s">
        <v>54</v>
      </c>
      <c r="B7" s="40" t="s">
        <v>37</v>
      </c>
      <c r="C7" s="41" t="s">
        <v>38</v>
      </c>
      <c r="D7" s="41" t="s">
        <v>39</v>
      </c>
      <c r="E7" s="42">
        <v>6.9710000000000001</v>
      </c>
      <c r="F7" s="43">
        <v>14.8</v>
      </c>
      <c r="G7" s="43">
        <v>8.6440000000000001</v>
      </c>
      <c r="H7" s="43">
        <v>0.48874674386085498</v>
      </c>
      <c r="I7" s="43">
        <v>0.38996785605087902</v>
      </c>
      <c r="J7" s="43">
        <v>5.8854388195362599</v>
      </c>
      <c r="K7" s="43">
        <v>3.2968778947103199</v>
      </c>
      <c r="L7" s="43">
        <v>16.378328999163202</v>
      </c>
      <c r="M7" s="43">
        <v>1.02268971239978</v>
      </c>
      <c r="N7" s="43">
        <v>13.876931305942</v>
      </c>
      <c r="O7" s="43">
        <v>1.07034751957261</v>
      </c>
      <c r="P7" s="43">
        <v>1.02605766544335</v>
      </c>
    </row>
    <row r="8" spans="1:16">
      <c r="A8" s="40" t="s">
        <v>57</v>
      </c>
      <c r="B8" s="40" t="s">
        <v>37</v>
      </c>
      <c r="C8" s="41" t="s">
        <v>38</v>
      </c>
      <c r="D8" s="41" t="s">
        <v>39</v>
      </c>
      <c r="E8" s="42">
        <v>7.0750000000000002</v>
      </c>
      <c r="F8" s="43">
        <v>8.8849999999999998</v>
      </c>
      <c r="G8" s="43">
        <v>12.01</v>
      </c>
      <c r="H8" s="43">
        <v>0.32920870726971097</v>
      </c>
      <c r="I8" s="43">
        <v>0.16747180844940002</v>
      </c>
      <c r="J8" s="43">
        <v>7.2566337234074894</v>
      </c>
      <c r="K8" s="43">
        <v>2.9348311376583802</v>
      </c>
      <c r="L8" s="43">
        <v>30.323433930577899</v>
      </c>
      <c r="M8" s="43">
        <v>0.96574436578739897</v>
      </c>
      <c r="N8" s="43">
        <v>25.358670174862098</v>
      </c>
      <c r="O8" s="43">
        <v>0.93216263632759899</v>
      </c>
      <c r="P8" s="43">
        <v>1.5616173224460801</v>
      </c>
    </row>
    <row r="9" spans="1:16">
      <c r="A9" s="40" t="s">
        <v>60</v>
      </c>
      <c r="B9" s="40" t="s">
        <v>37</v>
      </c>
      <c r="C9" s="41" t="s">
        <v>38</v>
      </c>
      <c r="D9" s="41" t="s">
        <v>39</v>
      </c>
      <c r="E9" s="42">
        <v>6.8849999999999998</v>
      </c>
      <c r="F9" s="43">
        <v>6.6420000000000003</v>
      </c>
      <c r="G9" s="43">
        <v>7.42</v>
      </c>
      <c r="H9" s="43">
        <v>0.60600026465366896</v>
      </c>
      <c r="I9" s="43">
        <v>0.33688967009885001</v>
      </c>
      <c r="J9" s="43">
        <v>6.1256681317302695</v>
      </c>
      <c r="K9" s="43">
        <v>2.4449094288246802</v>
      </c>
      <c r="L9" s="43">
        <v>19.108971356404201</v>
      </c>
      <c r="M9" s="43">
        <v>1.2558661923088399</v>
      </c>
      <c r="N9" s="43">
        <v>15.077911538207999</v>
      </c>
      <c r="O9" s="43">
        <v>1.1899201005259701</v>
      </c>
      <c r="P9" s="43">
        <v>0.82661758112572603</v>
      </c>
    </row>
    <row r="10" spans="1:16">
      <c r="A10" s="40" t="s">
        <v>63</v>
      </c>
      <c r="B10" s="40" t="s">
        <v>37</v>
      </c>
      <c r="C10" s="41" t="s">
        <v>38</v>
      </c>
      <c r="D10" s="41" t="s">
        <v>39</v>
      </c>
      <c r="E10" s="42">
        <v>6.5359999999999996</v>
      </c>
      <c r="F10" s="43">
        <v>11.98</v>
      </c>
      <c r="G10" s="43">
        <v>13.55</v>
      </c>
      <c r="H10" s="43">
        <v>0.37668701058851106</v>
      </c>
      <c r="I10" s="43">
        <v>0.15531691515523399</v>
      </c>
      <c r="J10" s="43">
        <v>9.8787021010370708</v>
      </c>
      <c r="K10" s="43">
        <v>2.7898102071411</v>
      </c>
      <c r="L10" s="43">
        <v>22.676577010478901</v>
      </c>
      <c r="M10" s="43">
        <v>1.3070406738984699</v>
      </c>
      <c r="N10" s="43">
        <v>28.345343617054798</v>
      </c>
      <c r="O10" s="43">
        <v>0.64598322358293392</v>
      </c>
      <c r="P10" s="43">
        <v>1.39397046086256</v>
      </c>
    </row>
    <row r="11" spans="1:16">
      <c r="A11" s="40" t="s">
        <v>66</v>
      </c>
      <c r="B11" s="40" t="s">
        <v>37</v>
      </c>
      <c r="C11" s="41" t="s">
        <v>38</v>
      </c>
      <c r="D11" s="41" t="s">
        <v>39</v>
      </c>
      <c r="E11" s="42">
        <v>6.5259999999999998</v>
      </c>
      <c r="F11" s="43">
        <v>11.05</v>
      </c>
      <c r="G11" s="43">
        <v>10.94</v>
      </c>
      <c r="H11" s="43">
        <v>0.33500661171114104</v>
      </c>
      <c r="I11" s="43">
        <v>6.5460277724446195E-2</v>
      </c>
      <c r="J11" s="43">
        <v>6.8131747697404901</v>
      </c>
      <c r="K11" s="43">
        <v>2.3862020084602702</v>
      </c>
      <c r="L11" s="43">
        <v>23.872751599473602</v>
      </c>
      <c r="M11" s="43">
        <v>0.76596427661900401</v>
      </c>
      <c r="N11" s="43">
        <v>21.216336671277499</v>
      </c>
      <c r="O11" s="43">
        <v>2.1815852482779001</v>
      </c>
      <c r="P11" s="43">
        <v>1.0554368482114</v>
      </c>
    </row>
    <row r="12" spans="1:16">
      <c r="A12" s="40" t="s">
        <v>69</v>
      </c>
      <c r="B12" s="40" t="s">
        <v>37</v>
      </c>
      <c r="C12" s="41" t="s">
        <v>38</v>
      </c>
      <c r="D12" s="41" t="s">
        <v>39</v>
      </c>
      <c r="E12" s="42">
        <v>6.3369999999999997</v>
      </c>
      <c r="F12" s="43">
        <v>18.420000000000002</v>
      </c>
      <c r="G12" s="43">
        <v>11.24</v>
      </c>
      <c r="H12" s="43">
        <v>0.49988947405611206</v>
      </c>
      <c r="I12" s="43">
        <v>4.0101575390599997E-2</v>
      </c>
      <c r="J12" s="43">
        <v>9.6131420366061704</v>
      </c>
      <c r="K12" s="43">
        <v>1.8954218671371101</v>
      </c>
      <c r="L12" s="43">
        <v>21.408999565826299</v>
      </c>
      <c r="M12" s="43">
        <v>1.04221844783031</v>
      </c>
      <c r="N12" s="43">
        <v>17.641231463094201</v>
      </c>
      <c r="O12" s="43">
        <v>0.185384296494321</v>
      </c>
      <c r="P12" s="43">
        <v>0.89632708176043008</v>
      </c>
    </row>
    <row r="13" spans="1:16">
      <c r="A13" s="40" t="s">
        <v>72</v>
      </c>
      <c r="B13" s="40" t="s">
        <v>37</v>
      </c>
      <c r="C13" s="41" t="s">
        <v>38</v>
      </c>
      <c r="D13" s="41" t="s">
        <v>39</v>
      </c>
      <c r="E13" s="42">
        <v>6.9729999999999999</v>
      </c>
      <c r="F13" s="43">
        <v>8.98</v>
      </c>
      <c r="G13" s="43">
        <v>8.9710000000000001</v>
      </c>
      <c r="H13" s="43">
        <v>0.51385370716780499</v>
      </c>
      <c r="I13" s="43">
        <v>0.42468709095043999</v>
      </c>
      <c r="J13" s="43">
        <v>7.9957770247522095</v>
      </c>
      <c r="K13" s="43">
        <v>1.88879750379941</v>
      </c>
      <c r="L13" s="43">
        <v>27.875158699100304</v>
      </c>
      <c r="M13" s="43">
        <v>1.0775520366178599</v>
      </c>
      <c r="N13" s="43">
        <v>17.743215198369498</v>
      </c>
      <c r="O13" s="43">
        <v>0.75769907867387398</v>
      </c>
      <c r="P13" s="43">
        <v>1.1781224727057</v>
      </c>
    </row>
    <row r="14" spans="1:16">
      <c r="A14" s="40" t="s">
        <v>75</v>
      </c>
      <c r="B14" s="40" t="s">
        <v>37</v>
      </c>
      <c r="C14" s="41" t="s">
        <v>38</v>
      </c>
      <c r="D14" s="41" t="s">
        <v>39</v>
      </c>
      <c r="E14" s="42">
        <v>6.8760000000000003</v>
      </c>
      <c r="F14" s="43">
        <v>10.61</v>
      </c>
      <c r="G14" s="43">
        <v>14.14</v>
      </c>
      <c r="H14" s="43">
        <v>0.48217043839312801</v>
      </c>
      <c r="I14" s="43">
        <v>0.22203061293225998</v>
      </c>
      <c r="J14" s="43">
        <v>11.1973341312281</v>
      </c>
      <c r="K14" s="43">
        <v>1.8403407944637502</v>
      </c>
      <c r="L14" s="43">
        <v>20.392261447693301</v>
      </c>
      <c r="M14" s="43">
        <v>0.94547366572349301</v>
      </c>
      <c r="N14" s="43">
        <v>30.240200635283699</v>
      </c>
      <c r="O14" s="43">
        <v>1.7918920458924001</v>
      </c>
      <c r="P14" s="43">
        <v>1.1570826580670299</v>
      </c>
    </row>
    <row r="15" spans="1:16">
      <c r="A15" s="40" t="s">
        <v>78</v>
      </c>
      <c r="B15" s="40" t="s">
        <v>37</v>
      </c>
      <c r="C15" s="41" t="s">
        <v>38</v>
      </c>
      <c r="D15" s="41" t="s">
        <v>39</v>
      </c>
      <c r="E15" s="42">
        <v>7.0039999999999996</v>
      </c>
      <c r="F15" s="43">
        <v>6.52</v>
      </c>
      <c r="G15" s="43">
        <v>14.744999999999999</v>
      </c>
      <c r="H15" s="43">
        <v>0.28168615000992403</v>
      </c>
      <c r="I15" s="43">
        <v>0.20820054835181098</v>
      </c>
      <c r="J15" s="43">
        <v>6.3800985809208202</v>
      </c>
      <c r="K15" s="43">
        <v>1.02335485104403</v>
      </c>
      <c r="L15" s="43">
        <v>32.131042060914801</v>
      </c>
      <c r="M15" s="43">
        <v>0.62702291601790994</v>
      </c>
      <c r="N15" s="43">
        <v>17.8205389589607</v>
      </c>
      <c r="O15" s="43">
        <v>0.51006757177256001</v>
      </c>
      <c r="P15" s="43">
        <v>0.80826242231578993</v>
      </c>
    </row>
    <row r="16" spans="1:16">
      <c r="A16" s="40" t="s">
        <v>81</v>
      </c>
      <c r="B16" s="40" t="s">
        <v>37</v>
      </c>
      <c r="C16" s="41" t="s">
        <v>38</v>
      </c>
      <c r="D16" s="41" t="s">
        <v>39</v>
      </c>
      <c r="E16" s="42">
        <v>7.0659999999999998</v>
      </c>
      <c r="F16" s="43">
        <v>21.49</v>
      </c>
      <c r="G16" s="43">
        <v>17.66</v>
      </c>
      <c r="H16" s="43">
        <v>0.28511774093150599</v>
      </c>
      <c r="I16" s="43">
        <v>3.5311958542540399E-2</v>
      </c>
      <c r="J16" s="43">
        <v>10.064861315037399</v>
      </c>
      <c r="K16" s="43">
        <v>3.2646072210193298</v>
      </c>
      <c r="L16" s="43">
        <v>61.2204335734911</v>
      </c>
      <c r="M16" s="43">
        <v>0.58772673221409999</v>
      </c>
      <c r="N16" s="43">
        <v>35.372990627089102</v>
      </c>
      <c r="O16" s="43">
        <v>0.61017601278507405</v>
      </c>
      <c r="P16" s="43">
        <v>1.94949485487045</v>
      </c>
    </row>
    <row r="17" spans="1:16">
      <c r="A17" s="40" t="s">
        <v>84</v>
      </c>
      <c r="B17" s="40" t="s">
        <v>37</v>
      </c>
      <c r="C17" s="41" t="s">
        <v>38</v>
      </c>
      <c r="D17" s="41" t="s">
        <v>39</v>
      </c>
      <c r="E17" s="42">
        <v>6.63</v>
      </c>
      <c r="F17" s="43">
        <v>8.5739999999999998</v>
      </c>
      <c r="G17" s="43">
        <v>12.07</v>
      </c>
      <c r="H17" s="43">
        <v>0.85143552961069402</v>
      </c>
      <c r="I17" s="43">
        <v>0.30860424115182999</v>
      </c>
      <c r="J17" s="43">
        <v>5.2246531765378004</v>
      </c>
      <c r="K17" s="43">
        <v>2.2919658306656903</v>
      </c>
      <c r="L17" s="43">
        <v>20.156277983134402</v>
      </c>
      <c r="M17" s="43">
        <v>1.4196379610033198</v>
      </c>
      <c r="N17" s="43">
        <v>26.3053053611536</v>
      </c>
      <c r="O17" s="43">
        <v>0.243456397308178</v>
      </c>
      <c r="P17" s="43">
        <v>1.2711187343183701</v>
      </c>
    </row>
    <row r="18" spans="1:16">
      <c r="A18" s="40" t="s">
        <v>87</v>
      </c>
      <c r="B18" s="40" t="s">
        <v>37</v>
      </c>
      <c r="C18" s="41" t="s">
        <v>38</v>
      </c>
      <c r="D18" s="41" t="s">
        <v>39</v>
      </c>
      <c r="E18" s="42">
        <v>6.6660000000000004</v>
      </c>
      <c r="F18" s="43">
        <v>12.52</v>
      </c>
      <c r="G18" s="43">
        <v>14.98</v>
      </c>
      <c r="H18" s="43">
        <v>0.77212313896849194</v>
      </c>
      <c r="I18" s="43">
        <v>0.28588844632557503</v>
      </c>
      <c r="J18" s="43">
        <v>8.7625220761664302</v>
      </c>
      <c r="K18" s="43">
        <v>2.8254500873209096</v>
      </c>
      <c r="L18" s="43">
        <v>23.489394985058798</v>
      </c>
      <c r="M18" s="43">
        <v>1.5334060051179699</v>
      </c>
      <c r="N18" s="43">
        <v>30.921316513035698</v>
      </c>
      <c r="O18" s="43">
        <v>0.33672511654790505</v>
      </c>
      <c r="P18" s="43">
        <v>1.48718914293991</v>
      </c>
    </row>
    <row r="19" spans="1:16">
      <c r="A19" s="40" t="s">
        <v>90</v>
      </c>
      <c r="B19" s="40" t="s">
        <v>37</v>
      </c>
      <c r="C19" s="41" t="s">
        <v>91</v>
      </c>
      <c r="D19" s="41" t="s">
        <v>39</v>
      </c>
      <c r="E19" s="42">
        <v>7.8710000000000004</v>
      </c>
      <c r="F19" s="43">
        <v>18.89</v>
      </c>
      <c r="G19" s="43">
        <v>24.92</v>
      </c>
      <c r="H19" s="43">
        <v>0.54453264149301506</v>
      </c>
      <c r="I19" s="43">
        <v>0.24752941919996499</v>
      </c>
      <c r="J19" s="43">
        <v>12.2822009518773</v>
      </c>
      <c r="K19" s="43">
        <v>6.064371588055451</v>
      </c>
      <c r="L19" s="43">
        <v>56.927964639725602</v>
      </c>
      <c r="M19" s="43">
        <v>1.1383011471862101</v>
      </c>
      <c r="N19" s="43">
        <v>56.570728341123697</v>
      </c>
      <c r="O19" s="43">
        <v>2.4493441803190099</v>
      </c>
      <c r="P19" s="43">
        <v>3.2222010299591002</v>
      </c>
    </row>
    <row r="20" spans="1:16">
      <c r="A20" s="40" t="s">
        <v>94</v>
      </c>
      <c r="B20" s="40" t="s">
        <v>37</v>
      </c>
      <c r="C20" s="41" t="s">
        <v>91</v>
      </c>
      <c r="D20" s="41" t="s">
        <v>39</v>
      </c>
      <c r="E20" s="42">
        <v>6.6020000000000003</v>
      </c>
      <c r="F20" s="43">
        <v>13.21</v>
      </c>
      <c r="G20" s="43">
        <v>23.38</v>
      </c>
      <c r="H20" s="43">
        <v>0.53161795551748503</v>
      </c>
      <c r="I20" s="43">
        <v>0.21098524251418299</v>
      </c>
      <c r="J20" s="43">
        <v>12.739948524404801</v>
      </c>
      <c r="K20" s="43">
        <v>2.8436729000538303</v>
      </c>
      <c r="L20" s="43">
        <v>52.295790990206903</v>
      </c>
      <c r="M20" s="43">
        <v>1.14617506341398</v>
      </c>
      <c r="N20" s="43">
        <v>26.977462748177203</v>
      </c>
      <c r="O20" s="43">
        <v>1.05167615920661</v>
      </c>
      <c r="P20" s="43">
        <v>4.0422825524564399</v>
      </c>
    </row>
    <row r="21" spans="1:16">
      <c r="A21" s="40" t="s">
        <v>97</v>
      </c>
      <c r="B21" s="40" t="s">
        <v>37</v>
      </c>
      <c r="C21" s="41" t="s">
        <v>91</v>
      </c>
      <c r="D21" s="41" t="s">
        <v>39</v>
      </c>
      <c r="E21" s="42">
        <v>6.9050000000000002</v>
      </c>
      <c r="F21" s="43">
        <v>16.57</v>
      </c>
      <c r="G21" s="43">
        <v>22.64</v>
      </c>
      <c r="H21" s="43">
        <v>0.40022747769234002</v>
      </c>
      <c r="I21" s="43">
        <v>0.237605304552821</v>
      </c>
      <c r="J21" s="43">
        <v>12.663118341376101</v>
      </c>
      <c r="K21" s="43">
        <v>3.9965206700181</v>
      </c>
      <c r="L21" s="43">
        <v>33.908088697530502</v>
      </c>
      <c r="M21" s="43">
        <v>0.93930939377607003</v>
      </c>
      <c r="N21" s="43">
        <v>49.838928330710203</v>
      </c>
      <c r="O21" s="43">
        <v>1.9544784718365902</v>
      </c>
      <c r="P21" s="43">
        <v>5.4481623743102006</v>
      </c>
    </row>
    <row r="22" spans="1:16">
      <c r="A22" s="40" t="s">
        <v>100</v>
      </c>
      <c r="B22" s="40" t="s">
        <v>37</v>
      </c>
      <c r="C22" s="41" t="s">
        <v>91</v>
      </c>
      <c r="D22" s="41" t="s">
        <v>39</v>
      </c>
      <c r="E22" s="42">
        <v>7.774</v>
      </c>
      <c r="F22" s="43">
        <v>19.010000000000002</v>
      </c>
      <c r="G22" s="43">
        <v>24.08</v>
      </c>
      <c r="H22" s="43">
        <v>0.53651993585212698</v>
      </c>
      <c r="I22" s="43">
        <v>0.220283799717434</v>
      </c>
      <c r="J22" s="43">
        <v>19.451224741122399</v>
      </c>
      <c r="K22" s="43">
        <v>3.0555781895226097</v>
      </c>
      <c r="L22" s="43">
        <v>31.583570995536402</v>
      </c>
      <c r="M22" s="43">
        <v>1.1386440923660799</v>
      </c>
      <c r="N22" s="43">
        <v>17.100058591377302</v>
      </c>
      <c r="O22" s="43">
        <v>2.50548981928881</v>
      </c>
      <c r="P22" s="43">
        <v>1.8551774904034801</v>
      </c>
    </row>
    <row r="23" spans="1:16">
      <c r="A23" s="40" t="s">
        <v>103</v>
      </c>
      <c r="B23" s="40" t="s">
        <v>37</v>
      </c>
      <c r="C23" s="41" t="s">
        <v>91</v>
      </c>
      <c r="D23" s="41" t="s">
        <v>39</v>
      </c>
      <c r="E23" s="42">
        <v>6.9320000000000004</v>
      </c>
      <c r="F23" s="43">
        <v>18.27</v>
      </c>
      <c r="G23" s="43">
        <v>25.31</v>
      </c>
      <c r="H23" s="43">
        <v>0.44876345000000001</v>
      </c>
      <c r="I23" s="43">
        <v>3.7437440485821802E-2</v>
      </c>
      <c r="J23" s="43">
        <v>11.567526047553599</v>
      </c>
      <c r="K23" s="43">
        <v>3.24027798409672</v>
      </c>
      <c r="L23" s="43">
        <v>31.4093252699464</v>
      </c>
      <c r="M23" s="43">
        <v>0.88496615121058797</v>
      </c>
      <c r="N23" s="43">
        <v>20.0072279063086</v>
      </c>
      <c r="O23" s="43">
        <v>1.00834234</v>
      </c>
      <c r="P23" s="43">
        <v>1.7250980483957201</v>
      </c>
    </row>
    <row r="24" spans="1:16">
      <c r="A24" s="40" t="s">
        <v>106</v>
      </c>
      <c r="B24" s="40" t="s">
        <v>37</v>
      </c>
      <c r="C24" s="41" t="s">
        <v>91</v>
      </c>
      <c r="D24" s="41" t="s">
        <v>39</v>
      </c>
      <c r="E24" s="42">
        <v>7.3840000000000003</v>
      </c>
      <c r="F24" s="43">
        <v>12.64</v>
      </c>
      <c r="G24" s="43">
        <v>15.989000000000001</v>
      </c>
      <c r="H24" s="43">
        <v>0.48765229999999998</v>
      </c>
      <c r="I24" s="43">
        <v>4.0498754962121394E-2</v>
      </c>
      <c r="J24" s="43">
        <v>9.7991474791914701</v>
      </c>
      <c r="K24" s="43">
        <v>2.4943763516537403</v>
      </c>
      <c r="L24" s="43">
        <v>37.448129907426505</v>
      </c>
      <c r="M24" s="43">
        <v>0.97451235293469096</v>
      </c>
      <c r="N24" s="43">
        <v>17.8066666933885</v>
      </c>
      <c r="O24" s="43">
        <v>0.65615322418972599</v>
      </c>
      <c r="P24" s="43">
        <v>1.1485145539053501</v>
      </c>
    </row>
    <row r="25" spans="1:16">
      <c r="A25" s="40" t="s">
        <v>109</v>
      </c>
      <c r="B25" s="40" t="s">
        <v>37</v>
      </c>
      <c r="C25" s="41" t="s">
        <v>91</v>
      </c>
      <c r="D25" s="41" t="s">
        <v>39</v>
      </c>
      <c r="E25" s="42">
        <v>7.3150000000000004</v>
      </c>
      <c r="F25" s="43">
        <v>19.602</v>
      </c>
      <c r="G25" s="43">
        <v>18.021000000000001</v>
      </c>
      <c r="H25" s="43">
        <v>0.39980723000000001</v>
      </c>
      <c r="I25" s="43">
        <v>4.0056550309125895E-2</v>
      </c>
      <c r="J25" s="43">
        <v>12.098432499999999</v>
      </c>
      <c r="K25" s="43">
        <v>2.43194891455216</v>
      </c>
      <c r="L25" s="43">
        <v>30.734178135550302</v>
      </c>
      <c r="M25" s="43">
        <v>0.70292803507030699</v>
      </c>
      <c r="N25" s="43">
        <v>14.989014815867501</v>
      </c>
      <c r="O25" s="43">
        <v>0.41398909359896496</v>
      </c>
      <c r="P25" s="43">
        <v>3.4206439853097899</v>
      </c>
    </row>
    <row r="26" spans="1:16">
      <c r="A26" s="40" t="s">
        <v>112</v>
      </c>
      <c r="B26" s="40" t="s">
        <v>37</v>
      </c>
      <c r="C26" s="41" t="s">
        <v>91</v>
      </c>
      <c r="D26" s="41" t="s">
        <v>39</v>
      </c>
      <c r="E26" s="42">
        <v>6.8949999999999996</v>
      </c>
      <c r="F26" s="43">
        <v>11.73</v>
      </c>
      <c r="G26" s="43">
        <v>19.234000000000002</v>
      </c>
      <c r="H26" s="43">
        <v>0.59872340000000002</v>
      </c>
      <c r="I26" s="43">
        <v>9.9876345000000005E-2</v>
      </c>
      <c r="J26" s="43">
        <v>11.209834000000001</v>
      </c>
      <c r="K26" s="43">
        <v>2.1381853706045901</v>
      </c>
      <c r="L26" s="43">
        <v>35.6312668083022</v>
      </c>
      <c r="M26" s="43">
        <v>0.81470968598194005</v>
      </c>
      <c r="N26" s="43">
        <v>15.279648471740598</v>
      </c>
      <c r="O26" s="43">
        <v>2.0975325956250499</v>
      </c>
      <c r="P26" s="43">
        <v>1.2010249869910301</v>
      </c>
    </row>
    <row r="27" spans="1:16">
      <c r="A27" s="40" t="s">
        <v>115</v>
      </c>
      <c r="B27" s="40" t="s">
        <v>37</v>
      </c>
      <c r="C27" s="41" t="s">
        <v>91</v>
      </c>
      <c r="D27" s="41" t="s">
        <v>39</v>
      </c>
      <c r="E27" s="42">
        <v>6.8390000000000004</v>
      </c>
      <c r="F27" s="43">
        <v>14.14</v>
      </c>
      <c r="G27" s="43">
        <v>17.581</v>
      </c>
      <c r="H27" s="43">
        <v>0.38763449999999999</v>
      </c>
      <c r="I27" s="43">
        <v>8.0939699769369003E-2</v>
      </c>
      <c r="J27" s="43">
        <v>12.39872345</v>
      </c>
      <c r="K27" s="43">
        <v>2.0341165839168402</v>
      </c>
      <c r="L27" s="43">
        <v>42.1012433634451</v>
      </c>
      <c r="M27" s="43">
        <v>0.76713835864417401</v>
      </c>
      <c r="N27" s="43">
        <v>11.432255600052601</v>
      </c>
      <c r="O27" s="43">
        <v>0.56253516545430304</v>
      </c>
      <c r="P27" s="43">
        <v>1.56524815837613</v>
      </c>
    </row>
    <row r="28" spans="1:16">
      <c r="A28" s="40" t="s">
        <v>163</v>
      </c>
      <c r="B28" s="40" t="s">
        <v>37</v>
      </c>
      <c r="C28" s="41" t="s">
        <v>164</v>
      </c>
      <c r="D28" s="41" t="s">
        <v>165</v>
      </c>
      <c r="E28" s="42">
        <v>6.6539999999999999</v>
      </c>
      <c r="F28" s="43">
        <v>16.39</v>
      </c>
      <c r="G28" s="43">
        <v>22.88</v>
      </c>
      <c r="H28" s="43">
        <v>0.27687632400000001</v>
      </c>
      <c r="I28" s="43">
        <v>0.67522211528834297</v>
      </c>
      <c r="J28" s="43">
        <v>12.387325000000001</v>
      </c>
      <c r="K28" s="43">
        <v>5.1837952299131</v>
      </c>
      <c r="L28" s="43">
        <v>26.059613893656302</v>
      </c>
      <c r="M28" s="43">
        <v>0.82236708025794802</v>
      </c>
      <c r="N28" s="43">
        <v>54.448430963490999</v>
      </c>
      <c r="O28" s="43">
        <v>12.296582329942501</v>
      </c>
      <c r="P28" s="43">
        <v>12.179107615564799</v>
      </c>
    </row>
    <row r="29" spans="1:16">
      <c r="A29" s="40" t="s">
        <v>168</v>
      </c>
      <c r="B29" s="40" t="s">
        <v>37</v>
      </c>
      <c r="C29" s="41" t="s">
        <v>164</v>
      </c>
      <c r="D29" s="41" t="s">
        <v>165</v>
      </c>
      <c r="E29" s="42">
        <v>6.3049999999999997</v>
      </c>
      <c r="F29" s="43">
        <v>18.510000000000002</v>
      </c>
      <c r="G29" s="43">
        <v>23.81</v>
      </c>
      <c r="H29" s="43">
        <v>0.28876234499999998</v>
      </c>
      <c r="I29" s="43">
        <v>0.81398026476462793</v>
      </c>
      <c r="J29" s="43">
        <v>10.872339999999999</v>
      </c>
      <c r="K29" s="43">
        <v>5.4224517076478094</v>
      </c>
      <c r="L29" s="43">
        <v>36.391348928167503</v>
      </c>
      <c r="M29" s="43">
        <v>1.0219582692325999</v>
      </c>
      <c r="N29" s="43">
        <v>52.779982847268997</v>
      </c>
      <c r="O29" s="43">
        <v>11.685331220177201</v>
      </c>
      <c r="P29" s="43">
        <v>17.5017966944059</v>
      </c>
    </row>
    <row r="30" spans="1:16">
      <c r="A30" s="40" t="s">
        <v>171</v>
      </c>
      <c r="B30" s="40" t="s">
        <v>37</v>
      </c>
      <c r="C30" s="41" t="s">
        <v>164</v>
      </c>
      <c r="D30" s="41" t="s">
        <v>165</v>
      </c>
      <c r="E30" s="42">
        <v>6.6390000000000002</v>
      </c>
      <c r="F30" s="43">
        <v>18.48</v>
      </c>
      <c r="G30" s="43">
        <v>25.19</v>
      </c>
      <c r="H30" s="43">
        <v>0.22876759999999999</v>
      </c>
      <c r="I30" s="43">
        <v>0.88536506015861494</v>
      </c>
      <c r="J30" s="43">
        <v>11.2876235</v>
      </c>
      <c r="K30" s="43">
        <v>5.1098340000000002</v>
      </c>
      <c r="L30" s="43">
        <v>30.627031746331099</v>
      </c>
      <c r="M30" s="43">
        <v>1.05180018107333</v>
      </c>
      <c r="N30" s="43">
        <v>56.498877089616997</v>
      </c>
      <c r="O30" s="43">
        <v>8.3480545549181002</v>
      </c>
      <c r="P30" s="43">
        <v>10.8582339054724</v>
      </c>
    </row>
    <row r="31" spans="1:16">
      <c r="A31" s="40" t="s">
        <v>173</v>
      </c>
      <c r="B31" s="40" t="s">
        <v>37</v>
      </c>
      <c r="C31" s="41" t="s">
        <v>164</v>
      </c>
      <c r="D31" s="41" t="s">
        <v>165</v>
      </c>
      <c r="E31" s="42">
        <v>7.1340000000000003</v>
      </c>
      <c r="F31" s="43">
        <v>8.4450000000000003</v>
      </c>
      <c r="G31" s="43">
        <v>10.69</v>
      </c>
      <c r="H31" s="43">
        <v>0.2019862435</v>
      </c>
      <c r="I31" s="43">
        <v>0.46914859428795003</v>
      </c>
      <c r="J31" s="43">
        <v>10.203878700000001</v>
      </c>
      <c r="K31" s="43">
        <v>2.4490978000000001</v>
      </c>
      <c r="L31" s="43">
        <v>56.098345000000002</v>
      </c>
      <c r="M31" s="43">
        <v>0.75671897850966996</v>
      </c>
      <c r="N31" s="43">
        <v>28.7224101233097</v>
      </c>
      <c r="O31" s="43">
        <v>4.2974982000916002</v>
      </c>
      <c r="P31" s="43">
        <v>1.1325276477066901</v>
      </c>
    </row>
    <row r="32" spans="1:16">
      <c r="A32" s="40" t="s">
        <v>176</v>
      </c>
      <c r="B32" s="40" t="s">
        <v>37</v>
      </c>
      <c r="C32" s="41" t="s">
        <v>164</v>
      </c>
      <c r="D32" s="41" t="s">
        <v>165</v>
      </c>
      <c r="E32" s="42">
        <v>7.1529999999999996</v>
      </c>
      <c r="F32" s="43">
        <v>11.75</v>
      </c>
      <c r="G32" s="43">
        <v>12.45</v>
      </c>
      <c r="H32" s="43">
        <v>0.18876345</v>
      </c>
      <c r="I32" s="43">
        <v>0.42284391632876106</v>
      </c>
      <c r="J32" s="43">
        <v>9.0984350000000003</v>
      </c>
      <c r="K32" s="43">
        <v>2.4170289132469098</v>
      </c>
      <c r="L32" s="43">
        <v>58.814244690583202</v>
      </c>
      <c r="M32" s="43">
        <v>0.41790238049226602</v>
      </c>
      <c r="N32" s="43">
        <v>24.430280243919299</v>
      </c>
      <c r="O32" s="43">
        <v>4.1951552798380698</v>
      </c>
      <c r="P32" s="43">
        <v>1.4528424252764598</v>
      </c>
    </row>
    <row r="33" spans="1:16">
      <c r="A33" s="40" t="s">
        <v>179</v>
      </c>
      <c r="B33" s="40" t="s">
        <v>37</v>
      </c>
      <c r="C33" s="41" t="s">
        <v>164</v>
      </c>
      <c r="D33" s="41" t="s">
        <v>165</v>
      </c>
      <c r="E33" s="42">
        <v>7.0369999999999999</v>
      </c>
      <c r="F33" s="43">
        <v>9.0350000000000001</v>
      </c>
      <c r="G33" s="43">
        <v>11.04</v>
      </c>
      <c r="H33" s="43">
        <v>0.156801719880445</v>
      </c>
      <c r="I33" s="43">
        <v>0.43572026731584301</v>
      </c>
      <c r="J33" s="43">
        <v>8.7351522451415704</v>
      </c>
      <c r="K33" s="43">
        <v>2.49585395941076</v>
      </c>
      <c r="L33" s="43">
        <v>47.323327801118197</v>
      </c>
      <c r="M33" s="43">
        <v>0.44329344878208798</v>
      </c>
      <c r="N33" s="43">
        <v>22.407293827863302</v>
      </c>
      <c r="O33" s="43">
        <v>5.7440063328826394</v>
      </c>
      <c r="P33" s="43">
        <v>1.4622785424254701</v>
      </c>
    </row>
    <row r="34" spans="1:16">
      <c r="A34" s="40" t="s">
        <v>181</v>
      </c>
      <c r="B34" s="40" t="s">
        <v>37</v>
      </c>
      <c r="C34" s="41" t="s">
        <v>164</v>
      </c>
      <c r="D34" s="41" t="s">
        <v>165</v>
      </c>
      <c r="E34" s="42">
        <v>8.1910000000000007</v>
      </c>
      <c r="F34" s="43">
        <v>7.8810000000000002</v>
      </c>
      <c r="G34" s="43">
        <v>7.1020000000000003</v>
      </c>
      <c r="H34" s="43">
        <v>0.14724592820281202</v>
      </c>
      <c r="I34" s="43">
        <v>7.3565746369012003E-2</v>
      </c>
      <c r="J34" s="43">
        <v>9.6470779938586304</v>
      </c>
      <c r="K34" s="43">
        <v>2.6121455655330199</v>
      </c>
      <c r="L34" s="43">
        <v>41.785539915805103</v>
      </c>
      <c r="M34" s="43">
        <v>0.56965006310635302</v>
      </c>
      <c r="N34" s="43">
        <v>13.309393602183802</v>
      </c>
      <c r="O34" s="43">
        <v>4.0047270233971402</v>
      </c>
      <c r="P34" s="43">
        <v>1.3292971595926102</v>
      </c>
    </row>
    <row r="35" spans="1:16">
      <c r="A35" s="40" t="s">
        <v>184</v>
      </c>
      <c r="B35" s="40" t="s">
        <v>37</v>
      </c>
      <c r="C35" s="41" t="s">
        <v>164</v>
      </c>
      <c r="D35" s="41" t="s">
        <v>165</v>
      </c>
      <c r="E35" s="42">
        <v>8.0370000000000008</v>
      </c>
      <c r="F35" s="43">
        <v>9.4459999999999997</v>
      </c>
      <c r="G35" s="43">
        <v>10.85</v>
      </c>
      <c r="H35" s="43">
        <v>0.17982961107801501</v>
      </c>
      <c r="I35" s="43">
        <v>3.6970259981564398E-2</v>
      </c>
      <c r="J35" s="43">
        <v>9.4329731845266487</v>
      </c>
      <c r="K35" s="43">
        <v>3.08252907608553</v>
      </c>
      <c r="L35" s="43">
        <v>42.135300481772298</v>
      </c>
      <c r="M35" s="43">
        <v>0.54291950381009302</v>
      </c>
      <c r="N35" s="43">
        <v>12.2732786703538</v>
      </c>
      <c r="O35" s="43">
        <v>3.82560588574108</v>
      </c>
      <c r="P35" s="43">
        <v>1.94374156078604</v>
      </c>
    </row>
    <row r="36" spans="1:16">
      <c r="A36" s="40" t="s">
        <v>186</v>
      </c>
      <c r="B36" s="40" t="s">
        <v>37</v>
      </c>
      <c r="C36" s="41" t="s">
        <v>164</v>
      </c>
      <c r="D36" s="41" t="s">
        <v>165</v>
      </c>
      <c r="E36" s="42">
        <v>8.3569999999999993</v>
      </c>
      <c r="F36" s="43">
        <v>10.09</v>
      </c>
      <c r="G36" s="43">
        <v>9.1419999999999995</v>
      </c>
      <c r="H36" s="43">
        <v>0.14139621283540799</v>
      </c>
      <c r="I36" s="43">
        <v>2.77011413273009E-2</v>
      </c>
      <c r="J36" s="43">
        <v>9.7051545328053308</v>
      </c>
      <c r="K36" s="43">
        <v>3.1395866495729301</v>
      </c>
      <c r="L36" s="43">
        <v>40.649709249671503</v>
      </c>
      <c r="M36" s="43">
        <v>0.51078935516429402</v>
      </c>
      <c r="N36" s="43">
        <v>10.0462354159162</v>
      </c>
      <c r="O36" s="43">
        <v>2.32459988082688</v>
      </c>
      <c r="P36" s="43">
        <v>1.01283521803577</v>
      </c>
    </row>
    <row r="37" spans="1:16">
      <c r="A37" s="40" t="s">
        <v>189</v>
      </c>
      <c r="B37" s="40" t="s">
        <v>37</v>
      </c>
      <c r="C37" s="41" t="s">
        <v>164</v>
      </c>
      <c r="D37" s="41" t="s">
        <v>165</v>
      </c>
      <c r="E37" s="42">
        <v>6.8259999999999996</v>
      </c>
      <c r="F37" s="43">
        <v>8.9830000000000005</v>
      </c>
      <c r="G37" s="43">
        <v>32.26</v>
      </c>
      <c r="H37" s="43">
        <v>0.45781137645357101</v>
      </c>
      <c r="I37" s="43">
        <v>0.39557057795479</v>
      </c>
      <c r="J37" s="43">
        <v>10.866289627082399</v>
      </c>
      <c r="K37" s="43">
        <v>3.9747485264503202</v>
      </c>
      <c r="L37" s="43">
        <v>32.716881591259096</v>
      </c>
      <c r="M37" s="43">
        <v>0.69191152476974804</v>
      </c>
      <c r="N37" s="43">
        <v>61.859129546241398</v>
      </c>
      <c r="O37" s="43">
        <v>50.428705753986598</v>
      </c>
      <c r="P37" s="43">
        <v>4.9213079594762803</v>
      </c>
    </row>
    <row r="38" spans="1:16">
      <c r="A38" s="40" t="s">
        <v>191</v>
      </c>
      <c r="B38" s="40" t="s">
        <v>37</v>
      </c>
      <c r="C38" s="41" t="s">
        <v>164</v>
      </c>
      <c r="D38" s="41" t="s">
        <v>165</v>
      </c>
      <c r="E38" s="42">
        <v>6.907</v>
      </c>
      <c r="F38" s="43">
        <v>10.28</v>
      </c>
      <c r="G38" s="43">
        <v>40.97</v>
      </c>
      <c r="H38" s="43">
        <v>0.48688476738245501</v>
      </c>
      <c r="I38" s="43">
        <v>0.50159501870411605</v>
      </c>
      <c r="J38" s="43">
        <v>10.0937588596453</v>
      </c>
      <c r="K38" s="43">
        <v>4.5949172644598004</v>
      </c>
      <c r="L38" s="43">
        <v>30.4776100203499</v>
      </c>
      <c r="M38" s="43">
        <v>0.75741343535373995</v>
      </c>
      <c r="N38" s="43">
        <v>70.612658715593</v>
      </c>
      <c r="O38" s="43">
        <v>45.057671647456097</v>
      </c>
      <c r="P38" s="43">
        <v>4.6227294241652404</v>
      </c>
    </row>
    <row r="39" spans="1:16">
      <c r="A39" s="40" t="s">
        <v>194</v>
      </c>
      <c r="B39" s="40" t="s">
        <v>37</v>
      </c>
      <c r="C39" s="41" t="s">
        <v>164</v>
      </c>
      <c r="D39" s="41" t="s">
        <v>165</v>
      </c>
      <c r="E39" s="42">
        <v>6.8739999999999997</v>
      </c>
      <c r="F39" s="43">
        <v>10.532999999999999</v>
      </c>
      <c r="G39" s="43">
        <v>27.07</v>
      </c>
      <c r="H39" s="43">
        <v>0.50881758475776595</v>
      </c>
      <c r="I39" s="43">
        <v>0.68243100778046095</v>
      </c>
      <c r="J39" s="43">
        <v>9.0744356653642999</v>
      </c>
      <c r="K39" s="43">
        <v>4.7568936510140603</v>
      </c>
      <c r="L39" s="43">
        <v>33.9618953341203</v>
      </c>
      <c r="M39" s="43">
        <v>0.60430781846112402</v>
      </c>
      <c r="N39" s="43">
        <v>66.071286428507989</v>
      </c>
      <c r="O39" s="43">
        <v>51.842636820991601</v>
      </c>
      <c r="P39" s="43">
        <v>5.9084331737143199</v>
      </c>
    </row>
    <row r="40" spans="1:16">
      <c r="A40" s="40" t="s">
        <v>197</v>
      </c>
      <c r="B40" s="40" t="s">
        <v>37</v>
      </c>
      <c r="C40" s="41" t="s">
        <v>164</v>
      </c>
      <c r="D40" s="41" t="s">
        <v>165</v>
      </c>
      <c r="E40" s="42">
        <v>7.14</v>
      </c>
      <c r="F40" s="43">
        <v>27.18</v>
      </c>
      <c r="G40" s="43">
        <v>21.51</v>
      </c>
      <c r="H40" s="43">
        <v>0.224720156038169</v>
      </c>
      <c r="I40" s="43">
        <v>9.9809089601718998E-2</v>
      </c>
      <c r="J40" s="43">
        <v>11.813162137692499</v>
      </c>
      <c r="K40" s="43">
        <v>8.0675317642493205</v>
      </c>
      <c r="L40" s="43">
        <v>32.499750289720197</v>
      </c>
      <c r="M40" s="43">
        <v>0.66136818462350699</v>
      </c>
      <c r="N40" s="43">
        <v>62.179913057214002</v>
      </c>
      <c r="O40" s="43">
        <v>23.150415429618501</v>
      </c>
      <c r="P40" s="43">
        <v>5.2820885364999199</v>
      </c>
    </row>
    <row r="41" spans="1:16">
      <c r="A41" s="40" t="s">
        <v>200</v>
      </c>
      <c r="B41" s="40" t="s">
        <v>37</v>
      </c>
      <c r="C41" s="41" t="s">
        <v>164</v>
      </c>
      <c r="D41" s="41" t="s">
        <v>165</v>
      </c>
      <c r="E41" s="42">
        <v>7.7380000000000004</v>
      </c>
      <c r="F41" s="43">
        <v>16.254000000000001</v>
      </c>
      <c r="G41" s="43">
        <v>21.18</v>
      </c>
      <c r="H41" s="43">
        <v>0.174419935306907</v>
      </c>
      <c r="I41" s="43">
        <v>2.7611644647714699E-2</v>
      </c>
      <c r="J41" s="43">
        <v>8.4314033515693794</v>
      </c>
      <c r="K41" s="43">
        <v>7.8994204955678002</v>
      </c>
      <c r="L41" s="43">
        <v>30.204555961798</v>
      </c>
      <c r="M41" s="43">
        <v>0.52697631848814497</v>
      </c>
      <c r="N41" s="43">
        <v>50.3569247316683</v>
      </c>
      <c r="O41" s="43">
        <v>22.051899837425299</v>
      </c>
      <c r="P41" s="43">
        <v>5.6398627913981798</v>
      </c>
    </row>
    <row r="42" spans="1:16">
      <c r="A42" s="40" t="s">
        <v>203</v>
      </c>
      <c r="B42" s="40" t="s">
        <v>37</v>
      </c>
      <c r="C42" s="41" t="s">
        <v>164</v>
      </c>
      <c r="D42" s="41" t="s">
        <v>165</v>
      </c>
      <c r="E42" s="42">
        <v>7.125</v>
      </c>
      <c r="F42" s="43">
        <v>20.98</v>
      </c>
      <c r="G42" s="43">
        <v>25.9</v>
      </c>
      <c r="H42" s="43">
        <v>0.25561692741499098</v>
      </c>
      <c r="I42" s="43">
        <v>3.1073913623561301E-2</v>
      </c>
      <c r="J42" s="43">
        <v>9.4274523112750792</v>
      </c>
      <c r="K42" s="43">
        <v>7.8607499953652002</v>
      </c>
      <c r="L42" s="43">
        <v>40.898747351275006</v>
      </c>
      <c r="M42" s="43">
        <v>0.63331396416736196</v>
      </c>
      <c r="N42" s="43">
        <v>59.291939810574299</v>
      </c>
      <c r="O42" s="43">
        <v>30.381807490503498</v>
      </c>
      <c r="P42" s="43">
        <v>5.5980105939192697</v>
      </c>
    </row>
    <row r="43" spans="1:16">
      <c r="A43" s="40" t="s">
        <v>206</v>
      </c>
      <c r="B43" s="40" t="s">
        <v>37</v>
      </c>
      <c r="C43" s="41" t="s">
        <v>164</v>
      </c>
      <c r="D43" s="41" t="s">
        <v>165</v>
      </c>
      <c r="E43" s="42">
        <v>7.8070000000000004</v>
      </c>
      <c r="F43" s="43">
        <v>27.05</v>
      </c>
      <c r="G43" s="43">
        <v>30.88</v>
      </c>
      <c r="H43" s="43">
        <v>0.25668613441277199</v>
      </c>
      <c r="I43" s="43">
        <v>3.6566542191208799E-2</v>
      </c>
      <c r="J43" s="43">
        <v>13.340608078455</v>
      </c>
      <c r="K43" s="43">
        <v>5.3471598025276599</v>
      </c>
      <c r="L43" s="43">
        <v>64.890981082410207</v>
      </c>
      <c r="M43" s="43">
        <v>0.70644358698802801</v>
      </c>
      <c r="N43" s="43">
        <v>73.833478178128701</v>
      </c>
      <c r="O43" s="43">
        <v>22.853155632836401</v>
      </c>
      <c r="P43" s="43">
        <v>15.9120418917487</v>
      </c>
    </row>
    <row r="44" spans="1:16">
      <c r="A44" s="40" t="s">
        <v>209</v>
      </c>
      <c r="B44" s="40" t="s">
        <v>37</v>
      </c>
      <c r="C44" s="41" t="s">
        <v>164</v>
      </c>
      <c r="D44" s="41" t="s">
        <v>165</v>
      </c>
      <c r="E44" s="42">
        <v>7.8840000000000003</v>
      </c>
      <c r="F44" s="43">
        <v>26.67</v>
      </c>
      <c r="G44" s="43">
        <v>35.14</v>
      </c>
      <c r="H44" s="43">
        <v>0.348881190077033</v>
      </c>
      <c r="I44" s="43">
        <v>4.3447016006280301E-2</v>
      </c>
      <c r="J44" s="43">
        <v>16.8718391489022</v>
      </c>
      <c r="K44" s="43">
        <v>5.3988764944451191</v>
      </c>
      <c r="L44" s="43">
        <v>45.372430701523498</v>
      </c>
      <c r="M44" s="43">
        <v>0.87590854145595298</v>
      </c>
      <c r="N44" s="43">
        <v>77.958042064291604</v>
      </c>
      <c r="O44" s="43">
        <v>25.223604267132099</v>
      </c>
      <c r="P44" s="43">
        <v>12.4859569350205</v>
      </c>
    </row>
    <row r="45" spans="1:16">
      <c r="A45" s="40" t="s">
        <v>212</v>
      </c>
      <c r="B45" s="40" t="s">
        <v>37</v>
      </c>
      <c r="C45" s="41" t="s">
        <v>164</v>
      </c>
      <c r="D45" s="41" t="s">
        <v>165</v>
      </c>
      <c r="E45" s="42">
        <v>7.6959999999999997</v>
      </c>
      <c r="F45" s="43">
        <v>27.97</v>
      </c>
      <c r="G45" s="43">
        <v>33.700000000000003</v>
      </c>
      <c r="H45" s="43">
        <v>0.23731792747075298</v>
      </c>
      <c r="I45" s="43">
        <v>3.9345079830538796E-2</v>
      </c>
      <c r="J45" s="43">
        <v>19.489543914371502</v>
      </c>
      <c r="K45" s="43">
        <v>4.4508213772296106</v>
      </c>
      <c r="L45" s="43">
        <v>57.461885846551098</v>
      </c>
      <c r="M45" s="43">
        <v>0.80650604954530003</v>
      </c>
      <c r="N45" s="43">
        <v>77.234883940086704</v>
      </c>
      <c r="O45" s="43">
        <v>19.205940041621801</v>
      </c>
      <c r="P45" s="43">
        <v>12.1007145766477</v>
      </c>
    </row>
    <row r="46" spans="1:16">
      <c r="A46" s="40" t="s">
        <v>118</v>
      </c>
      <c r="B46" s="40" t="s">
        <v>37</v>
      </c>
      <c r="C46" s="41" t="s">
        <v>91</v>
      </c>
      <c r="D46" s="41" t="s">
        <v>39</v>
      </c>
      <c r="E46" s="42">
        <v>7.1929999999999996</v>
      </c>
      <c r="F46" s="43">
        <v>17.36</v>
      </c>
      <c r="G46" s="43">
        <v>33.68</v>
      </c>
      <c r="H46" s="43">
        <v>0.21804370842950199</v>
      </c>
      <c r="I46" s="43">
        <v>3.5500433691795799E-2</v>
      </c>
      <c r="J46" s="43">
        <v>13.010501128301399</v>
      </c>
      <c r="K46" s="43">
        <v>4.95472525102746</v>
      </c>
      <c r="L46" s="43">
        <v>44.402604156218899</v>
      </c>
      <c r="M46" s="43">
        <v>0.7728594172855161</v>
      </c>
      <c r="N46" s="43">
        <v>18.551483145015599</v>
      </c>
      <c r="O46" s="43">
        <v>2.6774659669238798</v>
      </c>
      <c r="P46" s="43">
        <v>2.6896626414951603</v>
      </c>
    </row>
    <row r="47" spans="1:16">
      <c r="A47" s="40" t="s">
        <v>120</v>
      </c>
      <c r="B47" s="40" t="s">
        <v>37</v>
      </c>
      <c r="C47" s="41" t="s">
        <v>91</v>
      </c>
      <c r="D47" s="41" t="s">
        <v>39</v>
      </c>
      <c r="E47" s="42">
        <v>6.8449999999999998</v>
      </c>
      <c r="F47" s="43">
        <v>10.54</v>
      </c>
      <c r="G47" s="43">
        <v>18.283999999999999</v>
      </c>
      <c r="H47" s="43">
        <v>0.157746827590792</v>
      </c>
      <c r="I47" s="43">
        <v>7.0091428929314206E-2</v>
      </c>
      <c r="J47" s="43">
        <v>7.0762060408349399</v>
      </c>
      <c r="K47" s="43">
        <v>2.6412337992415305</v>
      </c>
      <c r="L47" s="43">
        <v>38.934118464107897</v>
      </c>
      <c r="M47" s="43">
        <v>0.51374063446096896</v>
      </c>
      <c r="N47" s="43">
        <v>20.008825166656599</v>
      </c>
      <c r="O47" s="43">
        <v>0.87267413868364696</v>
      </c>
      <c r="P47" s="43">
        <v>1.0972091019689099</v>
      </c>
    </row>
    <row r="48" spans="1:16">
      <c r="A48" s="40" t="s">
        <v>123</v>
      </c>
      <c r="B48" s="40" t="s">
        <v>37</v>
      </c>
      <c r="C48" s="41" t="s">
        <v>91</v>
      </c>
      <c r="D48" s="41" t="s">
        <v>39</v>
      </c>
      <c r="E48" s="42">
        <v>7.3879999999999999</v>
      </c>
      <c r="F48" s="43">
        <v>21.35</v>
      </c>
      <c r="G48" s="43">
        <v>18.72</v>
      </c>
      <c r="H48" s="43">
        <v>0.20815559603848202</v>
      </c>
      <c r="I48" s="43">
        <v>2.3734163192632402E-2</v>
      </c>
      <c r="J48" s="43">
        <v>10.004107026665501</v>
      </c>
      <c r="K48" s="43">
        <v>3.4090231261802302</v>
      </c>
      <c r="L48" s="43">
        <v>62.633219375099898</v>
      </c>
      <c r="M48" s="43">
        <v>0.49764157565717898</v>
      </c>
      <c r="N48" s="43">
        <v>36.539163548697502</v>
      </c>
      <c r="O48" s="43">
        <v>0.39097746525740801</v>
      </c>
      <c r="P48" s="43">
        <v>2.5648587057735401</v>
      </c>
    </row>
    <row r="49" spans="1:16">
      <c r="A49" s="40" t="s">
        <v>126</v>
      </c>
      <c r="B49" s="40" t="s">
        <v>37</v>
      </c>
      <c r="C49" s="41" t="s">
        <v>91</v>
      </c>
      <c r="D49" s="41" t="s">
        <v>39</v>
      </c>
      <c r="E49" s="42">
        <v>7.2830000000000004</v>
      </c>
      <c r="F49" s="43">
        <v>15.3</v>
      </c>
      <c r="G49" s="43">
        <v>24.7</v>
      </c>
      <c r="H49" s="43">
        <v>0.240717724261334</v>
      </c>
      <c r="I49" s="43">
        <v>2.4507171721993501E-2</v>
      </c>
      <c r="J49" s="43">
        <v>9.8012891881536905</v>
      </c>
      <c r="K49" s="43">
        <v>5.6739783316806003</v>
      </c>
      <c r="L49" s="43">
        <v>51.869353862081496</v>
      </c>
      <c r="M49" s="43">
        <v>0.50569338212363701</v>
      </c>
      <c r="N49" s="43">
        <v>56.7705362427279</v>
      </c>
      <c r="O49" s="43">
        <v>1.1174788658886901</v>
      </c>
      <c r="P49" s="43">
        <v>3.5689582368736699</v>
      </c>
    </row>
    <row r="50" spans="1:16">
      <c r="A50" s="40" t="s">
        <v>129</v>
      </c>
      <c r="B50" s="40" t="s">
        <v>37</v>
      </c>
      <c r="C50" s="41" t="s">
        <v>91</v>
      </c>
      <c r="D50" s="41" t="s">
        <v>39</v>
      </c>
      <c r="E50" s="42">
        <v>7.444</v>
      </c>
      <c r="F50" s="43">
        <v>20.100000000000001</v>
      </c>
      <c r="G50" s="43">
        <v>35.270000000000003</v>
      </c>
      <c r="H50" s="43">
        <v>0.195465393984739</v>
      </c>
      <c r="I50" s="43">
        <v>7.8901450838843007E-2</v>
      </c>
      <c r="J50" s="43">
        <v>11.516026873885801</v>
      </c>
      <c r="K50" s="43">
        <v>4.9435044614189696</v>
      </c>
      <c r="L50" s="43">
        <v>65.711700416594297</v>
      </c>
      <c r="M50" s="43">
        <v>0.84167903031392</v>
      </c>
      <c r="N50" s="43">
        <v>40.480473173538002</v>
      </c>
      <c r="O50" s="43">
        <v>1.2922022779098499</v>
      </c>
      <c r="P50" s="43">
        <v>3.4933936170941</v>
      </c>
    </row>
    <row r="51" spans="1:16">
      <c r="A51" s="40" t="s">
        <v>132</v>
      </c>
      <c r="B51" s="40" t="s">
        <v>37</v>
      </c>
      <c r="C51" s="41" t="s">
        <v>91</v>
      </c>
      <c r="D51" s="41" t="s">
        <v>39</v>
      </c>
      <c r="E51" s="42">
        <v>7.3479999999999999</v>
      </c>
      <c r="F51" s="43">
        <v>20.58</v>
      </c>
      <c r="G51" s="43">
        <v>22.46</v>
      </c>
      <c r="H51" s="43">
        <v>0.215228665498024</v>
      </c>
      <c r="I51" s="43">
        <v>3.4250842102735199E-2</v>
      </c>
      <c r="J51" s="43">
        <v>14.8063496875389</v>
      </c>
      <c r="K51" s="43">
        <v>2.8469709222495698</v>
      </c>
      <c r="L51" s="43">
        <v>49.133065973708099</v>
      </c>
      <c r="M51" s="43">
        <v>0.913989070533619</v>
      </c>
      <c r="N51" s="43">
        <v>21.606112682528298</v>
      </c>
      <c r="O51" s="43">
        <v>1.1037693847557799</v>
      </c>
      <c r="P51" s="43">
        <v>2.6604979353659504</v>
      </c>
    </row>
    <row r="52" spans="1:16">
      <c r="A52" s="40" t="s">
        <v>135</v>
      </c>
      <c r="B52" s="40" t="s">
        <v>37</v>
      </c>
      <c r="C52" s="41" t="s">
        <v>91</v>
      </c>
      <c r="D52" s="41" t="s">
        <v>39</v>
      </c>
      <c r="E52" s="42">
        <v>7.5709999999999997</v>
      </c>
      <c r="F52" s="43">
        <v>18.940000000000001</v>
      </c>
      <c r="G52" s="43">
        <v>34.75</v>
      </c>
      <c r="H52" s="43">
        <v>0.229635934883681</v>
      </c>
      <c r="I52" s="43">
        <v>2.9631377791154198E-2</v>
      </c>
      <c r="J52" s="43">
        <v>17.9239860112176</v>
      </c>
      <c r="K52" s="43">
        <v>4.8328391202024701</v>
      </c>
      <c r="L52" s="43">
        <v>51.162412391300798</v>
      </c>
      <c r="M52" s="43">
        <v>0.89741783174880896</v>
      </c>
      <c r="N52" s="43">
        <v>44.9616742157678</v>
      </c>
      <c r="O52" s="43">
        <v>1.8891326668519102</v>
      </c>
      <c r="P52" s="43">
        <v>3.02489325117382</v>
      </c>
    </row>
    <row r="53" spans="1:16">
      <c r="A53" s="40" t="s">
        <v>137</v>
      </c>
      <c r="B53" s="40" t="s">
        <v>37</v>
      </c>
      <c r="C53" s="41" t="s">
        <v>91</v>
      </c>
      <c r="D53" s="41" t="s">
        <v>39</v>
      </c>
      <c r="E53" s="42">
        <v>6.9749999999999996</v>
      </c>
      <c r="F53" s="43">
        <v>17.989999999999998</v>
      </c>
      <c r="G53" s="43">
        <v>17.273</v>
      </c>
      <c r="H53" s="43">
        <v>0.24932896966311999</v>
      </c>
      <c r="I53" s="43">
        <v>3.0780256505818698E-2</v>
      </c>
      <c r="J53" s="43">
        <v>16.886570183640398</v>
      </c>
      <c r="K53" s="43">
        <v>2.0519146282650298</v>
      </c>
      <c r="L53" s="43">
        <v>44.351826003944801</v>
      </c>
      <c r="M53" s="43">
        <v>0.88022467170935403</v>
      </c>
      <c r="N53" s="43">
        <v>49.752948828187797</v>
      </c>
      <c r="O53" s="43">
        <v>1.98864251924604</v>
      </c>
      <c r="P53" s="43">
        <v>1.9658279968377501</v>
      </c>
    </row>
    <row r="54" spans="1:16">
      <c r="A54" s="40" t="s">
        <v>140</v>
      </c>
      <c r="B54" s="40" t="s">
        <v>37</v>
      </c>
      <c r="C54" s="41" t="s">
        <v>91</v>
      </c>
      <c r="D54" s="41" t="s">
        <v>39</v>
      </c>
      <c r="E54" s="42">
        <v>7.51</v>
      </c>
      <c r="F54" s="43">
        <v>18.239999999999998</v>
      </c>
      <c r="G54" s="43">
        <v>24.45</v>
      </c>
      <c r="H54" s="43">
        <v>0.27489577520659497</v>
      </c>
      <c r="I54" s="43">
        <v>4.2808413117626593E-2</v>
      </c>
      <c r="J54" s="43">
        <v>13.231242179352501</v>
      </c>
      <c r="K54" s="43">
        <v>4.4002117216896899</v>
      </c>
      <c r="L54" s="43">
        <v>43.350468069227297</v>
      </c>
      <c r="M54" s="43">
        <v>0.96754600686687897</v>
      </c>
      <c r="N54" s="43">
        <v>54.430176026094095</v>
      </c>
      <c r="O54" s="43">
        <v>3.0058397738363301</v>
      </c>
      <c r="P54" s="43">
        <v>1.7160793716835601</v>
      </c>
    </row>
    <row r="55" spans="1:16">
      <c r="A55" s="40" t="s">
        <v>214</v>
      </c>
      <c r="B55" s="40" t="s">
        <v>143</v>
      </c>
      <c r="C55" s="41" t="s">
        <v>38</v>
      </c>
      <c r="D55" s="41" t="s">
        <v>165</v>
      </c>
      <c r="E55" s="42">
        <v>6.4969999999999999</v>
      </c>
      <c r="F55" s="43">
        <v>60.36</v>
      </c>
      <c r="G55" s="43">
        <v>15.04</v>
      </c>
      <c r="H55" s="43">
        <v>0.73624195146931593</v>
      </c>
      <c r="I55" s="43">
        <v>4.6749974522444601E-2</v>
      </c>
      <c r="J55" s="43">
        <v>11.6975188586092</v>
      </c>
      <c r="K55" s="43">
        <v>4.04928520363225</v>
      </c>
      <c r="L55" s="43">
        <v>34.1657722940231</v>
      </c>
      <c r="M55" s="43">
        <v>1.1540275555041</v>
      </c>
      <c r="N55" s="43">
        <v>29.6035076598532</v>
      </c>
      <c r="O55" s="43">
        <v>10.824153864344</v>
      </c>
      <c r="P55" s="43">
        <v>2.2258207319671701</v>
      </c>
    </row>
    <row r="56" spans="1:16">
      <c r="A56" s="40" t="s">
        <v>216</v>
      </c>
      <c r="B56" s="40" t="s">
        <v>143</v>
      </c>
      <c r="C56" s="41" t="s">
        <v>38</v>
      </c>
      <c r="D56" s="41" t="s">
        <v>165</v>
      </c>
      <c r="E56" s="42">
        <v>6.399</v>
      </c>
      <c r="F56" s="43">
        <v>54.33</v>
      </c>
      <c r="G56" s="43">
        <v>15.2</v>
      </c>
      <c r="H56" s="43">
        <v>0.73533013158234395</v>
      </c>
      <c r="I56" s="43">
        <v>3.5214484721257398E-2</v>
      </c>
      <c r="J56" s="43">
        <v>11.7768307984818</v>
      </c>
      <c r="K56" s="43">
        <v>3.5069849875174404</v>
      </c>
      <c r="L56" s="43">
        <v>36.677897875503497</v>
      </c>
      <c r="M56" s="43">
        <v>0.96070282057466705</v>
      </c>
      <c r="N56" s="43">
        <v>32.219008079392296</v>
      </c>
      <c r="O56" s="43">
        <v>12.648933173522401</v>
      </c>
      <c r="P56" s="43">
        <v>1.94949058497405</v>
      </c>
    </row>
    <row r="57" spans="1:16">
      <c r="A57" s="40" t="s">
        <v>219</v>
      </c>
      <c r="B57" s="40" t="s">
        <v>143</v>
      </c>
      <c r="C57" s="41" t="s">
        <v>220</v>
      </c>
      <c r="D57" s="41" t="s">
        <v>165</v>
      </c>
      <c r="E57" s="42">
        <v>7.4340000000000002</v>
      </c>
      <c r="F57" s="43">
        <v>27.41</v>
      </c>
      <c r="G57" s="43">
        <v>19.190000000000001</v>
      </c>
      <c r="H57" s="43">
        <v>0.71929280184612798</v>
      </c>
      <c r="I57" s="43">
        <v>0.46289243474214598</v>
      </c>
      <c r="J57" s="43">
        <v>12.763026640429999</v>
      </c>
      <c r="K57" s="43">
        <v>8.6405591136833007</v>
      </c>
      <c r="L57" s="43">
        <v>64.235393263596293</v>
      </c>
      <c r="M57" s="43">
        <v>1.0342411600761601</v>
      </c>
      <c r="N57" s="43">
        <v>29.006687144092002</v>
      </c>
      <c r="O57" s="43">
        <v>5.8931660010159996</v>
      </c>
      <c r="P57" s="43">
        <v>10.054789691047199</v>
      </c>
    </row>
    <row r="58" spans="1:16">
      <c r="A58" s="40" t="s">
        <v>222</v>
      </c>
      <c r="B58" s="40" t="s">
        <v>143</v>
      </c>
      <c r="C58" s="41" t="s">
        <v>220</v>
      </c>
      <c r="D58" s="41" t="s">
        <v>165</v>
      </c>
      <c r="E58" s="42">
        <v>7.6319999999999997</v>
      </c>
      <c r="F58" s="43">
        <v>37.31</v>
      </c>
      <c r="G58" s="43">
        <v>15.75</v>
      </c>
      <c r="H58" s="43">
        <v>0.65395788097324103</v>
      </c>
      <c r="I58" s="43">
        <v>0.40477363724486504</v>
      </c>
      <c r="J58" s="43">
        <v>12.2467333717064</v>
      </c>
      <c r="K58" s="43">
        <v>8.45660168923839</v>
      </c>
      <c r="L58" s="43">
        <v>39.7134743769195</v>
      </c>
      <c r="M58" s="43">
        <v>0.53719373075264698</v>
      </c>
      <c r="N58" s="43">
        <v>35.5420165444473</v>
      </c>
      <c r="O58" s="43">
        <v>5.8678211288597604</v>
      </c>
      <c r="P58" s="43">
        <v>5.2910466995272696</v>
      </c>
    </row>
    <row r="59" spans="1:16">
      <c r="A59" s="40" t="s">
        <v>225</v>
      </c>
      <c r="B59" s="40" t="s">
        <v>143</v>
      </c>
      <c r="C59" s="41" t="s">
        <v>149</v>
      </c>
      <c r="D59" s="41" t="s">
        <v>165</v>
      </c>
      <c r="E59" s="42">
        <v>7.3659999999999997</v>
      </c>
      <c r="F59" s="43">
        <v>37.93</v>
      </c>
      <c r="G59" s="43">
        <v>16.454999999999998</v>
      </c>
      <c r="H59" s="43">
        <v>0.76638254793812999</v>
      </c>
      <c r="I59" s="43">
        <v>0.45959991678705597</v>
      </c>
      <c r="J59" s="43">
        <v>13.615244690006001</v>
      </c>
      <c r="K59" s="43">
        <v>8.0128523055403207</v>
      </c>
      <c r="L59" s="43">
        <v>44.407780259976597</v>
      </c>
      <c r="M59" s="43">
        <v>0.56654182584067003</v>
      </c>
      <c r="N59" s="43">
        <v>30.226633394899601</v>
      </c>
      <c r="O59" s="43">
        <v>2.5447519754701298</v>
      </c>
      <c r="P59" s="43">
        <v>4.2540042110375094</v>
      </c>
    </row>
    <row r="60" spans="1:16">
      <c r="A60" s="40" t="s">
        <v>228</v>
      </c>
      <c r="B60" s="40" t="s">
        <v>143</v>
      </c>
      <c r="C60" s="41" t="s">
        <v>158</v>
      </c>
      <c r="D60" s="41" t="s">
        <v>165</v>
      </c>
      <c r="E60" s="42">
        <v>7.5090000000000003</v>
      </c>
      <c r="F60" s="43">
        <v>39.33</v>
      </c>
      <c r="G60" s="43">
        <v>11.13</v>
      </c>
      <c r="H60" s="43">
        <v>0.66445153456882999</v>
      </c>
      <c r="I60" s="43">
        <v>0.47109364051857</v>
      </c>
      <c r="J60" s="43">
        <v>14.602594245896501</v>
      </c>
      <c r="K60" s="43">
        <v>6.9379203120205402</v>
      </c>
      <c r="L60" s="43">
        <v>50.908940117595506</v>
      </c>
      <c r="M60" s="43">
        <v>1.13789654767171</v>
      </c>
      <c r="N60" s="43">
        <v>29.947847930074801</v>
      </c>
      <c r="O60" s="43">
        <v>2.2472831743443198</v>
      </c>
      <c r="P60" s="43">
        <v>9.1982472437528902</v>
      </c>
    </row>
    <row r="61" spans="1:16">
      <c r="A61" s="40" t="s">
        <v>142</v>
      </c>
      <c r="B61" s="40" t="s">
        <v>143</v>
      </c>
      <c r="C61" s="41" t="s">
        <v>38</v>
      </c>
      <c r="D61" s="41" t="s">
        <v>39</v>
      </c>
      <c r="E61" s="42">
        <v>6.0570000000000004</v>
      </c>
      <c r="F61" s="43">
        <v>29.94</v>
      </c>
      <c r="G61" s="43">
        <v>13.2</v>
      </c>
      <c r="H61" s="43">
        <v>0.43369900385320398</v>
      </c>
      <c r="I61" s="43">
        <v>0.34033436609932</v>
      </c>
      <c r="J61" s="43">
        <v>14.996734295846601</v>
      </c>
      <c r="K61" s="43">
        <v>5.6684288052520397</v>
      </c>
      <c r="L61" s="43">
        <v>39.143197065383298</v>
      </c>
      <c r="M61" s="43">
        <v>0.95268088324092104</v>
      </c>
      <c r="N61" s="43">
        <v>11.4976319398895</v>
      </c>
      <c r="O61" s="43">
        <v>1.0723165869142099</v>
      </c>
      <c r="P61" s="43">
        <v>6.9917181832356601</v>
      </c>
    </row>
    <row r="62" spans="1:16">
      <c r="A62" s="40" t="s">
        <v>145</v>
      </c>
      <c r="B62" s="40" t="s">
        <v>143</v>
      </c>
      <c r="C62" s="41" t="s">
        <v>38</v>
      </c>
      <c r="D62" s="41" t="s">
        <v>39</v>
      </c>
      <c r="E62" s="42">
        <v>6.2809999999999997</v>
      </c>
      <c r="F62" s="43">
        <v>26.56</v>
      </c>
      <c r="G62" s="43">
        <v>18.408000000000001</v>
      </c>
      <c r="H62" s="43">
        <v>0.40235708688225702</v>
      </c>
      <c r="I62" s="43">
        <v>0.34714787104406597</v>
      </c>
      <c r="J62" s="43">
        <v>9.6205225625864497</v>
      </c>
      <c r="K62" s="43">
        <v>4.2088764086544304</v>
      </c>
      <c r="L62" s="43">
        <v>39.002184992138297</v>
      </c>
      <c r="M62" s="43">
        <v>0.60673449568611004</v>
      </c>
      <c r="N62" s="43">
        <v>12.233444134936299</v>
      </c>
      <c r="O62" s="43">
        <v>0.91785444156775908</v>
      </c>
      <c r="P62" s="43">
        <v>6.06781219941095</v>
      </c>
    </row>
    <row r="63" spans="1:16">
      <c r="A63" s="40" t="s">
        <v>148</v>
      </c>
      <c r="B63" s="40" t="s">
        <v>143</v>
      </c>
      <c r="C63" s="41" t="s">
        <v>149</v>
      </c>
      <c r="D63" s="41" t="s">
        <v>39</v>
      </c>
      <c r="E63" s="42">
        <v>7.4770000000000003</v>
      </c>
      <c r="F63" s="43">
        <v>49.26</v>
      </c>
      <c r="G63" s="43">
        <v>17.82</v>
      </c>
      <c r="H63" s="43">
        <v>0.45463817791505501</v>
      </c>
      <c r="I63" s="43">
        <v>1.9132840442864101</v>
      </c>
      <c r="J63" s="43">
        <v>15.0638882067914</v>
      </c>
      <c r="K63" s="43">
        <v>9.9729441794537603</v>
      </c>
      <c r="L63" s="43">
        <v>53.883781925020806</v>
      </c>
      <c r="M63" s="43">
        <v>0.63463507508530703</v>
      </c>
      <c r="N63" s="43">
        <v>15.1104186899111</v>
      </c>
      <c r="O63" s="43">
        <v>0.63038217411918995</v>
      </c>
      <c r="P63" s="43">
        <v>6.59945049415286</v>
      </c>
    </row>
    <row r="64" spans="1:16">
      <c r="A64" s="40" t="s">
        <v>152</v>
      </c>
      <c r="B64" s="40" t="s">
        <v>143</v>
      </c>
      <c r="C64" s="41" t="s">
        <v>149</v>
      </c>
      <c r="D64" s="41" t="s">
        <v>39</v>
      </c>
      <c r="E64" s="42">
        <v>7.1630000000000003</v>
      </c>
      <c r="F64" s="43">
        <v>30.33</v>
      </c>
      <c r="G64" s="43">
        <v>22.88</v>
      </c>
      <c r="H64" s="43">
        <v>0.52936789452730604</v>
      </c>
      <c r="I64" s="43">
        <v>2.0837302880429598</v>
      </c>
      <c r="J64" s="43">
        <v>18.429300957266598</v>
      </c>
      <c r="K64" s="43">
        <v>8.20627503582811</v>
      </c>
      <c r="L64" s="43">
        <v>39.987345345000001</v>
      </c>
      <c r="M64" s="43">
        <v>0.87600645238590902</v>
      </c>
      <c r="N64" s="43">
        <v>12.5815951075685</v>
      </c>
      <c r="O64" s="43">
        <v>1.33013409967935</v>
      </c>
      <c r="P64" s="43">
        <v>6.2082402328595299</v>
      </c>
    </row>
    <row r="65" spans="1:16">
      <c r="A65" s="40" t="s">
        <v>155</v>
      </c>
      <c r="B65" s="40" t="s">
        <v>143</v>
      </c>
      <c r="C65" s="41" t="s">
        <v>149</v>
      </c>
      <c r="D65" s="41" t="s">
        <v>39</v>
      </c>
      <c r="E65" s="42">
        <v>7.4160000000000004</v>
      </c>
      <c r="F65" s="43">
        <v>26.04</v>
      </c>
      <c r="G65" s="43">
        <v>10.95</v>
      </c>
      <c r="H65" s="43">
        <v>0.43434072436160798</v>
      </c>
      <c r="I65" s="43">
        <v>2.2824200852710401</v>
      </c>
      <c r="J65" s="43">
        <v>16.267735037160399</v>
      </c>
      <c r="K65" s="43">
        <v>7.8338457823152101</v>
      </c>
      <c r="L65" s="43">
        <v>38.623525714266499</v>
      </c>
      <c r="M65" s="43">
        <v>0.66550366119678195</v>
      </c>
      <c r="N65" s="43">
        <v>21.686638336467897</v>
      </c>
      <c r="O65" s="43">
        <v>1.39591942329679</v>
      </c>
      <c r="P65" s="43">
        <v>3.3018568203268699</v>
      </c>
    </row>
    <row r="66" spans="1:16">
      <c r="A66" s="40" t="s">
        <v>157</v>
      </c>
      <c r="B66" s="40" t="s">
        <v>143</v>
      </c>
      <c r="C66" s="41" t="s">
        <v>158</v>
      </c>
      <c r="D66" s="41" t="s">
        <v>39</v>
      </c>
      <c r="E66" s="42">
        <v>7.4249999999999998</v>
      </c>
      <c r="F66" s="43">
        <v>44.08</v>
      </c>
      <c r="G66" s="43">
        <v>14.66</v>
      </c>
      <c r="H66" s="43">
        <v>0.47034302929759197</v>
      </c>
      <c r="I66" s="43">
        <v>3.0161829728449301</v>
      </c>
      <c r="J66" s="43">
        <v>18.0237496795719</v>
      </c>
      <c r="K66" s="43">
        <v>7.7288726021052501</v>
      </c>
      <c r="L66" s="43">
        <v>41.456988949708702</v>
      </c>
      <c r="M66" s="43">
        <v>1.0181271494717701</v>
      </c>
      <c r="N66" s="43">
        <v>14.5429049148687</v>
      </c>
      <c r="O66" s="43">
        <v>1.0375121566698799</v>
      </c>
      <c r="P66" s="43">
        <v>8.0389566709542706</v>
      </c>
    </row>
    <row r="67" spans="1:16">
      <c r="A67" s="40" t="s">
        <v>161</v>
      </c>
      <c r="B67" s="40" t="s">
        <v>143</v>
      </c>
      <c r="C67" s="41" t="s">
        <v>158</v>
      </c>
      <c r="D67" s="41" t="s">
        <v>39</v>
      </c>
      <c r="E67" s="42">
        <v>7.5469999999999997</v>
      </c>
      <c r="F67" s="43">
        <v>48.66</v>
      </c>
      <c r="G67" s="43">
        <v>16.13</v>
      </c>
      <c r="H67" s="43">
        <v>0.57197404729874501</v>
      </c>
      <c r="I67" s="43">
        <v>4.76369485254531</v>
      </c>
      <c r="J67" s="43">
        <v>10.450799919378099</v>
      </c>
      <c r="K67" s="43">
        <v>7.29008033641861</v>
      </c>
      <c r="L67" s="43">
        <v>55.065216398183203</v>
      </c>
      <c r="M67" s="43">
        <v>1.12495527193695</v>
      </c>
      <c r="N67" s="43">
        <v>11.379046869737902</v>
      </c>
      <c r="O67" s="43">
        <v>1.3553596270077799</v>
      </c>
      <c r="P67" s="43">
        <v>10.888053250920599</v>
      </c>
    </row>
    <row r="68" spans="1:16">
      <c r="A68" s="44" t="s">
        <v>230</v>
      </c>
      <c r="B68" s="40" t="s">
        <v>143</v>
      </c>
      <c r="C68" s="45" t="s">
        <v>158</v>
      </c>
      <c r="D68" s="45" t="s">
        <v>39</v>
      </c>
      <c r="E68" s="42">
        <v>7.798</v>
      </c>
      <c r="F68" s="43">
        <v>37.85</v>
      </c>
      <c r="G68" s="43">
        <v>11.35</v>
      </c>
      <c r="H68" s="43">
        <v>0.38682662281417801</v>
      </c>
      <c r="I68" s="43">
        <v>2.0416714889815899</v>
      </c>
      <c r="J68" s="43">
        <v>7.8506408390885198</v>
      </c>
      <c r="K68" s="43">
        <v>4.1310559434316803</v>
      </c>
      <c r="L68" s="43">
        <v>32.404905978746797</v>
      </c>
      <c r="M68" s="43">
        <v>2.01237139484294</v>
      </c>
      <c r="N68" s="43">
        <v>6.3327071170350004</v>
      </c>
      <c r="O68" s="43">
        <v>0.93777792241144597</v>
      </c>
      <c r="P68" s="43">
        <v>10.316334727082401</v>
      </c>
    </row>
    <row r="69" spans="1:16">
      <c r="A69" s="44" t="s">
        <v>232</v>
      </c>
      <c r="B69" s="40" t="s">
        <v>143</v>
      </c>
      <c r="C69" s="45" t="s">
        <v>158</v>
      </c>
      <c r="D69" s="45" t="s">
        <v>39</v>
      </c>
      <c r="E69" s="42">
        <v>7.75</v>
      </c>
      <c r="F69" s="43">
        <v>29.01</v>
      </c>
      <c r="G69" s="43">
        <v>11.39</v>
      </c>
      <c r="H69" s="43">
        <v>0.44381025104994198</v>
      </c>
      <c r="I69" s="43">
        <v>3.08990929213976</v>
      </c>
      <c r="J69" s="43">
        <v>11.67562142601348</v>
      </c>
      <c r="K69" s="43">
        <v>4.2146303243957002</v>
      </c>
      <c r="L69" s="43">
        <v>68.458718412372605</v>
      </c>
      <c r="M69" s="43">
        <v>1.862076900021064</v>
      </c>
      <c r="N69" s="43">
        <v>11.106080456122481</v>
      </c>
      <c r="O69" s="43">
        <v>2.85402922575416</v>
      </c>
      <c r="P69" s="43">
        <v>9.3258473852504604</v>
      </c>
    </row>
    <row r="70" spans="1:16">
      <c r="A70" s="44" t="s">
        <v>234</v>
      </c>
      <c r="B70" s="40" t="s">
        <v>143</v>
      </c>
      <c r="C70" s="45" t="s">
        <v>158</v>
      </c>
      <c r="D70" s="45" t="s">
        <v>39</v>
      </c>
      <c r="E70" s="42">
        <v>7.3650000000000002</v>
      </c>
      <c r="F70" s="43">
        <v>41.43</v>
      </c>
      <c r="G70" s="43">
        <v>13.05</v>
      </c>
      <c r="H70" s="43">
        <v>0.43871866132292997</v>
      </c>
      <c r="I70" s="43">
        <v>2.04538765538683</v>
      </c>
      <c r="J70" s="43">
        <v>13.9646752203969</v>
      </c>
      <c r="K70" s="43">
        <v>5.81041620147196</v>
      </c>
      <c r="L70" s="43">
        <v>52.030982933242399</v>
      </c>
      <c r="M70" s="43">
        <v>2.37427433542608</v>
      </c>
      <c r="N70" s="43">
        <v>9.1082882935478811</v>
      </c>
      <c r="O70" s="43">
        <v>2.71728633015816</v>
      </c>
      <c r="P70" s="43">
        <v>9.1290147872001004</v>
      </c>
    </row>
    <row r="71" spans="1:16">
      <c r="A71" s="44" t="s">
        <v>236</v>
      </c>
      <c r="B71" s="40" t="s">
        <v>143</v>
      </c>
      <c r="C71" s="45" t="s">
        <v>158</v>
      </c>
      <c r="D71" s="45" t="s">
        <v>39</v>
      </c>
      <c r="E71" s="42">
        <v>7.37</v>
      </c>
      <c r="F71" s="43">
        <v>20.02</v>
      </c>
      <c r="G71" s="43">
        <v>15.416</v>
      </c>
      <c r="H71" s="43">
        <v>0.51839573776282</v>
      </c>
      <c r="I71" s="43">
        <v>2.04536726320238</v>
      </c>
      <c r="J71" s="43">
        <v>14.166302387215799</v>
      </c>
      <c r="K71" s="43">
        <v>5.7859211816781198</v>
      </c>
      <c r="L71" s="43">
        <v>32.555759352378402</v>
      </c>
      <c r="M71" s="43">
        <v>1.507299311977206</v>
      </c>
      <c r="N71" s="43">
        <v>4.3272407310594998</v>
      </c>
      <c r="O71" s="43">
        <v>1.0175275143729521</v>
      </c>
      <c r="P71" s="43">
        <v>12.8628738297932</v>
      </c>
    </row>
    <row r="72" spans="1:16">
      <c r="A72" s="44" t="s">
        <v>239</v>
      </c>
      <c r="B72" s="40" t="s">
        <v>143</v>
      </c>
      <c r="C72" s="45" t="s">
        <v>158</v>
      </c>
      <c r="D72" s="45" t="s">
        <v>39</v>
      </c>
      <c r="E72" s="42">
        <v>7.4109999999999996</v>
      </c>
      <c r="F72" s="43">
        <v>32.869999999999997</v>
      </c>
      <c r="G72" s="43">
        <v>13.21</v>
      </c>
      <c r="H72" s="43">
        <v>0.52387975355759997</v>
      </c>
      <c r="I72" s="43">
        <v>2.0503127098280398</v>
      </c>
      <c r="J72" s="43">
        <v>10.1192998372092</v>
      </c>
      <c r="K72" s="43">
        <v>7.0683718734089993</v>
      </c>
      <c r="L72" s="43">
        <v>37.453290036813002</v>
      </c>
      <c r="M72" s="43">
        <v>2.0762215493582601</v>
      </c>
      <c r="N72" s="43">
        <v>12.613206774344199</v>
      </c>
      <c r="O72" s="43">
        <v>1.7331511480323001</v>
      </c>
      <c r="P72" s="43">
        <v>13.178117460393601</v>
      </c>
    </row>
    <row r="73" spans="1:16">
      <c r="A73" s="45" t="s">
        <v>242</v>
      </c>
      <c r="B73" s="40" t="s">
        <v>143</v>
      </c>
      <c r="C73" s="45" t="s">
        <v>158</v>
      </c>
      <c r="D73" s="41" t="s">
        <v>165</v>
      </c>
      <c r="E73" s="42">
        <v>7.36</v>
      </c>
      <c r="F73" s="43">
        <v>30.02</v>
      </c>
      <c r="G73" s="43">
        <v>9.3810000000000002</v>
      </c>
      <c r="H73" s="43">
        <v>0.48978046780481599</v>
      </c>
      <c r="I73" s="43">
        <v>0.427287485108094</v>
      </c>
      <c r="J73" s="43">
        <v>11.57708868815698</v>
      </c>
      <c r="K73" s="43">
        <v>5.0777863580362004</v>
      </c>
      <c r="L73" s="43">
        <v>46.050233749093195</v>
      </c>
      <c r="M73" s="43">
        <v>1.9151972861080979</v>
      </c>
      <c r="N73" s="43">
        <v>27.515057772113099</v>
      </c>
      <c r="O73" s="43">
        <v>3.4706841605102299</v>
      </c>
      <c r="P73" s="43">
        <v>9.7386395894026396</v>
      </c>
    </row>
    <row r="74" spans="1:16">
      <c r="A74" s="45" t="s">
        <v>245</v>
      </c>
      <c r="B74" s="40" t="s">
        <v>143</v>
      </c>
      <c r="C74" s="45" t="s">
        <v>158</v>
      </c>
      <c r="D74" s="41" t="s">
        <v>165</v>
      </c>
      <c r="E74" s="42">
        <v>7.7290000000000001</v>
      </c>
      <c r="F74" s="43">
        <v>22.75</v>
      </c>
      <c r="G74" s="43">
        <v>19.149999999999999</v>
      </c>
      <c r="H74" s="43">
        <v>0.22830163037686002</v>
      </c>
      <c r="I74" s="43">
        <v>0.40789770788753399</v>
      </c>
      <c r="J74" s="43">
        <v>9.3193835828517404</v>
      </c>
      <c r="K74" s="43">
        <v>7.1181875471772207</v>
      </c>
      <c r="L74" s="43">
        <v>57.150840033523203</v>
      </c>
      <c r="M74" s="43">
        <v>1.4409286503260161</v>
      </c>
      <c r="N74" s="43">
        <v>35.625491082874802</v>
      </c>
      <c r="O74" s="43">
        <v>3.4335179360718802</v>
      </c>
      <c r="P74" s="43">
        <v>8.8729498515730789</v>
      </c>
    </row>
    <row r="75" spans="1:16">
      <c r="A75" s="45" t="s">
        <v>247</v>
      </c>
      <c r="B75" s="40" t="s">
        <v>143</v>
      </c>
      <c r="C75" s="45" t="s">
        <v>158</v>
      </c>
      <c r="D75" s="41" t="s">
        <v>165</v>
      </c>
      <c r="E75" s="42">
        <v>7.6319999999999997</v>
      </c>
      <c r="F75" s="43">
        <v>43.81</v>
      </c>
      <c r="G75" s="43">
        <v>8.6359999999999992</v>
      </c>
      <c r="H75" s="43">
        <v>0.44952616361673803</v>
      </c>
      <c r="I75" s="43">
        <v>0.63026526767108004</v>
      </c>
      <c r="J75" s="43">
        <v>17.480171063602139</v>
      </c>
      <c r="K75" s="43">
        <v>7.6289587236668801</v>
      </c>
      <c r="L75" s="43">
        <v>69.889160824866593</v>
      </c>
      <c r="M75" s="43">
        <v>1.9247412632057539</v>
      </c>
      <c r="N75" s="43">
        <v>21.0210819421191</v>
      </c>
      <c r="O75" s="43">
        <v>4.8975141665813098</v>
      </c>
      <c r="P75" s="43">
        <v>9.5081597463030008</v>
      </c>
    </row>
    <row r="76" spans="1:16">
      <c r="A76" s="45" t="s">
        <v>250</v>
      </c>
      <c r="B76" s="40" t="s">
        <v>143</v>
      </c>
      <c r="C76" s="45" t="s">
        <v>158</v>
      </c>
      <c r="D76" s="41" t="s">
        <v>165</v>
      </c>
      <c r="E76" s="42">
        <v>7.3330000000000002</v>
      </c>
      <c r="F76" s="43">
        <v>27.42</v>
      </c>
      <c r="G76" s="43">
        <v>15.19</v>
      </c>
      <c r="H76" s="43">
        <v>0.76224403344367597</v>
      </c>
      <c r="I76" s="43">
        <v>1.1791698417369401</v>
      </c>
      <c r="J76" s="43">
        <v>11.157109716780859</v>
      </c>
      <c r="K76" s="43">
        <v>4.5666119348332002</v>
      </c>
      <c r="L76" s="43">
        <v>41.350393200957399</v>
      </c>
      <c r="M76" s="43">
        <v>2.1255011632520198</v>
      </c>
      <c r="N76" s="43">
        <v>24.9686564639875</v>
      </c>
      <c r="O76" s="43">
        <v>8.1632580834045001</v>
      </c>
      <c r="P76" s="43">
        <v>9.6170598127876001</v>
      </c>
    </row>
    <row r="77" spans="1:16">
      <c r="A77" s="45" t="s">
        <v>253</v>
      </c>
      <c r="B77" s="40" t="s">
        <v>143</v>
      </c>
      <c r="C77" s="45" t="s">
        <v>158</v>
      </c>
      <c r="D77" s="41" t="s">
        <v>165</v>
      </c>
      <c r="E77" s="42">
        <v>7.38</v>
      </c>
      <c r="F77" s="43">
        <v>23.44</v>
      </c>
      <c r="G77" s="43">
        <v>10.35</v>
      </c>
      <c r="H77" s="43">
        <v>0.47574734018417197</v>
      </c>
      <c r="I77" s="43">
        <v>0.57112861856137997</v>
      </c>
      <c r="J77" s="43">
        <v>10.653397745845139</v>
      </c>
      <c r="K77" s="43">
        <v>4.9047443247902001</v>
      </c>
      <c r="L77" s="43">
        <v>45.5768007605636</v>
      </c>
      <c r="M77" s="43">
        <v>1.8541607582081079</v>
      </c>
      <c r="N77" s="43">
        <v>17.1808356019379</v>
      </c>
      <c r="O77" s="43">
        <v>3.05837847230198</v>
      </c>
      <c r="P77" s="43">
        <v>5.99098069187378</v>
      </c>
    </row>
    <row r="78" spans="1:16">
      <c r="A78" s="45" t="s">
        <v>255</v>
      </c>
      <c r="B78" s="40" t="s">
        <v>143</v>
      </c>
      <c r="C78" s="45" t="s">
        <v>158</v>
      </c>
      <c r="D78" s="41" t="s">
        <v>165</v>
      </c>
      <c r="E78" s="42">
        <v>7.5629999999999997</v>
      </c>
      <c r="F78" s="43">
        <v>45.62</v>
      </c>
      <c r="G78" s="43">
        <v>13.59</v>
      </c>
      <c r="H78" s="43">
        <v>0.43163531411614198</v>
      </c>
      <c r="I78" s="43">
        <v>0.61723653598537997</v>
      </c>
      <c r="J78" s="43">
        <v>8.6741349921896607</v>
      </c>
      <c r="K78" s="43">
        <v>4.1825153256061203</v>
      </c>
      <c r="L78" s="43">
        <v>43.928759681547398</v>
      </c>
      <c r="M78" s="43">
        <v>1.4782863547750518</v>
      </c>
      <c r="N78" s="43">
        <v>20.135342024071399</v>
      </c>
      <c r="O78" s="43">
        <v>4.8756469293386102</v>
      </c>
      <c r="P78" s="43">
        <v>6.3275867048196801</v>
      </c>
    </row>
    <row r="79" spans="1:16">
      <c r="A79" s="45" t="s">
        <v>258</v>
      </c>
      <c r="B79" s="40" t="s">
        <v>143</v>
      </c>
      <c r="C79" s="45" t="s">
        <v>220</v>
      </c>
      <c r="D79" s="45" t="s">
        <v>39</v>
      </c>
      <c r="E79" s="42">
        <v>7.2210000000000001</v>
      </c>
      <c r="F79" s="43">
        <v>17.5</v>
      </c>
      <c r="G79" s="43">
        <v>17.48</v>
      </c>
      <c r="H79" s="43">
        <v>0.53526349374301407</v>
      </c>
      <c r="I79" s="43">
        <v>9.3822035480052995E-2</v>
      </c>
      <c r="J79" s="43">
        <v>17.8707070745014</v>
      </c>
      <c r="K79" s="43">
        <v>2.4728354846574199</v>
      </c>
      <c r="L79" s="43">
        <v>14.511896025166401</v>
      </c>
      <c r="M79" s="43">
        <v>1.42098061548139</v>
      </c>
      <c r="N79" s="43">
        <v>3.4620086952112001</v>
      </c>
      <c r="O79" s="43">
        <v>1.0002073920825001</v>
      </c>
      <c r="P79" s="43">
        <v>2.8699562786248398</v>
      </c>
    </row>
    <row r="80" spans="1:16">
      <c r="A80" s="45" t="s">
        <v>260</v>
      </c>
      <c r="B80" s="40" t="s">
        <v>143</v>
      </c>
      <c r="C80" s="45" t="s">
        <v>220</v>
      </c>
      <c r="D80" s="45" t="s">
        <v>39</v>
      </c>
      <c r="E80" s="42">
        <v>7.0810000000000004</v>
      </c>
      <c r="F80" s="43">
        <v>14.2</v>
      </c>
      <c r="G80" s="43">
        <v>15.347</v>
      </c>
      <c r="H80" s="43">
        <v>0.42672370410766997</v>
      </c>
      <c r="I80" s="43">
        <v>4.77842021829206E-2</v>
      </c>
      <c r="J80" s="43">
        <v>11.801424519233642</v>
      </c>
      <c r="K80" s="43">
        <v>1.684841509513928</v>
      </c>
      <c r="L80" s="43">
        <v>9.37112268585898</v>
      </c>
      <c r="M80" s="43">
        <v>1.052300574283078</v>
      </c>
      <c r="N80" s="43">
        <v>5.3919101372871401</v>
      </c>
      <c r="O80" s="43">
        <v>1.5479589420020301</v>
      </c>
      <c r="P80" s="43">
        <v>3.3960167154077001</v>
      </c>
    </row>
    <row r="81" spans="1:16">
      <c r="A81" s="45" t="s">
        <v>262</v>
      </c>
      <c r="B81" s="40" t="s">
        <v>143</v>
      </c>
      <c r="C81" s="45" t="s">
        <v>220</v>
      </c>
      <c r="D81" s="45" t="s">
        <v>39</v>
      </c>
      <c r="E81" s="42">
        <v>6.8959999999999999</v>
      </c>
      <c r="F81" s="43">
        <v>22.5</v>
      </c>
      <c r="G81" s="43">
        <v>12.192</v>
      </c>
      <c r="H81" s="43">
        <v>0.42995692932640395</v>
      </c>
      <c r="I81" s="43">
        <v>4.0329341842576194E-2</v>
      </c>
      <c r="J81" s="43">
        <v>10.94100252049174</v>
      </c>
      <c r="K81" s="43">
        <v>1.1193819586668061</v>
      </c>
      <c r="L81" s="43">
        <v>9.8780841353053592</v>
      </c>
      <c r="M81" s="43">
        <v>1.5960992946899162</v>
      </c>
      <c r="N81" s="43">
        <v>2.8903865634605803</v>
      </c>
      <c r="O81" s="43">
        <v>0.82474875477135001</v>
      </c>
      <c r="P81" s="43">
        <v>2.6165577231985901</v>
      </c>
    </row>
    <row r="82" spans="1:16">
      <c r="A82" s="45" t="s">
        <v>264</v>
      </c>
      <c r="B82" s="40" t="s">
        <v>143</v>
      </c>
      <c r="C82" s="45" t="s">
        <v>220</v>
      </c>
      <c r="D82" s="45" t="s">
        <v>39</v>
      </c>
      <c r="E82" s="42">
        <v>6.9290000000000003</v>
      </c>
      <c r="F82" s="43">
        <v>21.97</v>
      </c>
      <c r="G82" s="43">
        <v>16.41</v>
      </c>
      <c r="H82" s="43">
        <v>0.87790151991058596</v>
      </c>
      <c r="I82" s="43">
        <v>4.5562868273551396E-2</v>
      </c>
      <c r="J82" s="43">
        <v>15.509884372020279</v>
      </c>
      <c r="K82" s="43">
        <v>3.0705850691083199</v>
      </c>
      <c r="L82" s="43">
        <v>7.3976102933029999</v>
      </c>
      <c r="M82" s="43">
        <v>2.5393525720429801</v>
      </c>
      <c r="N82" s="43">
        <v>2.1080162237266</v>
      </c>
      <c r="O82" s="43">
        <v>1.2570883129936061</v>
      </c>
      <c r="P82" s="43">
        <v>3.1677571709473602</v>
      </c>
    </row>
    <row r="83" spans="1:16">
      <c r="A83" s="45" t="s">
        <v>266</v>
      </c>
      <c r="B83" s="40" t="s">
        <v>143</v>
      </c>
      <c r="C83" s="45" t="s">
        <v>220</v>
      </c>
      <c r="D83" s="45" t="s">
        <v>39</v>
      </c>
      <c r="E83" s="42">
        <v>6.8879999999999999</v>
      </c>
      <c r="F83" s="43">
        <v>15.26</v>
      </c>
      <c r="G83" s="43">
        <v>14.65</v>
      </c>
      <c r="H83" s="43">
        <v>0.37468261046319595</v>
      </c>
      <c r="I83" s="43">
        <v>5.91246354924976E-2</v>
      </c>
      <c r="J83" s="43">
        <v>15.18545327170866</v>
      </c>
      <c r="K83" s="43">
        <v>1.6891730749570999</v>
      </c>
      <c r="L83" s="43">
        <v>15.896015925654201</v>
      </c>
      <c r="M83" s="43">
        <v>0.59351567985583198</v>
      </c>
      <c r="N83" s="43">
        <v>2.9719982601452002</v>
      </c>
      <c r="O83" s="43">
        <v>2.1840258007158</v>
      </c>
      <c r="P83" s="43">
        <v>3.2184970220419</v>
      </c>
    </row>
    <row r="84" spans="1:16">
      <c r="A84" s="45" t="s">
        <v>268</v>
      </c>
      <c r="B84" s="40" t="s">
        <v>143</v>
      </c>
      <c r="C84" s="45" t="s">
        <v>220</v>
      </c>
      <c r="D84" s="45" t="s">
        <v>39</v>
      </c>
      <c r="E84" s="42">
        <v>6.8780000000000001</v>
      </c>
      <c r="F84" s="43">
        <v>14.39</v>
      </c>
      <c r="G84" s="43">
        <v>14.5</v>
      </c>
      <c r="H84" s="43">
        <v>0.71216412643393001</v>
      </c>
      <c r="I84" s="43">
        <v>8.9412837859121991E-2</v>
      </c>
      <c r="J84" s="43">
        <v>12.22775750901282</v>
      </c>
      <c r="K84" s="43">
        <v>1.60411041065108</v>
      </c>
      <c r="L84" s="43">
        <v>8.3658231266859993</v>
      </c>
      <c r="M84" s="43">
        <v>0.86411468766944</v>
      </c>
      <c r="N84" s="43">
        <v>1.2821054720489999</v>
      </c>
      <c r="O84" s="43">
        <v>2.1158250833711998</v>
      </c>
      <c r="P84" s="43">
        <v>3.08679210500304</v>
      </c>
    </row>
    <row r="85" spans="1:16">
      <c r="A85" s="45" t="s">
        <v>271</v>
      </c>
      <c r="B85" s="40" t="s">
        <v>143</v>
      </c>
      <c r="C85" s="45" t="s">
        <v>220</v>
      </c>
      <c r="D85" s="45" t="s">
        <v>39</v>
      </c>
      <c r="E85" s="42">
        <v>7.0910000000000002</v>
      </c>
      <c r="F85" s="43">
        <v>17.34</v>
      </c>
      <c r="G85" s="43">
        <v>17.13</v>
      </c>
      <c r="H85" s="43">
        <v>0.93067000188306004</v>
      </c>
      <c r="I85" s="43">
        <v>0.19355127984844681</v>
      </c>
      <c r="J85" s="43">
        <v>10.396439737216681</v>
      </c>
      <c r="K85" s="43">
        <v>2.0938184131631998</v>
      </c>
      <c r="L85" s="43">
        <v>10.637384543502799</v>
      </c>
      <c r="M85" s="43">
        <v>0.61353015009324596</v>
      </c>
      <c r="N85" s="43">
        <v>1.7218865202831799</v>
      </c>
      <c r="O85" s="43">
        <v>1.5046375742014</v>
      </c>
      <c r="P85" s="43">
        <v>5.00445290637228</v>
      </c>
    </row>
    <row r="86" spans="1:16">
      <c r="A86" s="45" t="s">
        <v>274</v>
      </c>
      <c r="B86" s="40" t="s">
        <v>143</v>
      </c>
      <c r="C86" s="45" t="s">
        <v>220</v>
      </c>
      <c r="D86" s="41" t="s">
        <v>165</v>
      </c>
      <c r="E86" s="42">
        <v>7.0659999999999998</v>
      </c>
      <c r="F86" s="43">
        <v>29.87</v>
      </c>
      <c r="G86" s="43">
        <v>25.95</v>
      </c>
      <c r="H86" s="43">
        <v>0.47006588647228198</v>
      </c>
      <c r="I86" s="43">
        <v>0.561448287046172</v>
      </c>
      <c r="J86" s="43">
        <v>10.003315757651521</v>
      </c>
      <c r="K86" s="43">
        <v>6.6811268723696804</v>
      </c>
      <c r="L86" s="43">
        <v>51.965143233684202</v>
      </c>
      <c r="M86" s="43">
        <v>0.71552755349321207</v>
      </c>
      <c r="N86" s="43">
        <v>52.896401690681003</v>
      </c>
      <c r="O86" s="43">
        <v>3.7635172130557599</v>
      </c>
      <c r="P86" s="43">
        <v>10.28437890089422</v>
      </c>
    </row>
    <row r="87" spans="1:16">
      <c r="A87" s="45" t="s">
        <v>277</v>
      </c>
      <c r="B87" s="40" t="s">
        <v>143</v>
      </c>
      <c r="C87" s="45" t="s">
        <v>220</v>
      </c>
      <c r="D87" s="41" t="s">
        <v>165</v>
      </c>
      <c r="E87" s="42">
        <v>7.77</v>
      </c>
      <c r="F87" s="43">
        <v>30.17</v>
      </c>
      <c r="G87" s="43">
        <v>18.398</v>
      </c>
      <c r="H87" s="43">
        <v>0.43492269823927798</v>
      </c>
      <c r="I87" s="43">
        <v>0.57295883170766404</v>
      </c>
      <c r="J87" s="43">
        <v>13.572515478472621</v>
      </c>
      <c r="K87" s="43">
        <v>10.27750655266532</v>
      </c>
      <c r="L87" s="43">
        <v>50.460330692115804</v>
      </c>
      <c r="M87" s="43">
        <v>0.63350292203449798</v>
      </c>
      <c r="N87" s="43">
        <v>30.5693562919957</v>
      </c>
      <c r="O87" s="43">
        <v>4.9102211324527198</v>
      </c>
      <c r="P87" s="43">
        <v>13.9405427122242</v>
      </c>
    </row>
    <row r="88" spans="1:16">
      <c r="A88" s="45" t="s">
        <v>280</v>
      </c>
      <c r="B88" s="40" t="s">
        <v>143</v>
      </c>
      <c r="C88" s="45" t="s">
        <v>220</v>
      </c>
      <c r="D88" s="41" t="s">
        <v>165</v>
      </c>
      <c r="E88" s="42">
        <v>7.6479999999999997</v>
      </c>
      <c r="F88" s="43">
        <v>24.42</v>
      </c>
      <c r="G88" s="43">
        <v>22.85</v>
      </c>
      <c r="H88" s="43">
        <v>0.30138640387828802</v>
      </c>
      <c r="I88" s="43">
        <v>0.54986469704843799</v>
      </c>
      <c r="J88" s="43">
        <v>8.6550445038374395</v>
      </c>
      <c r="K88" s="43">
        <v>7.9473101370063404</v>
      </c>
      <c r="L88" s="43">
        <v>34.565095854458399</v>
      </c>
      <c r="M88" s="43">
        <v>0.52620701783039592</v>
      </c>
      <c r="N88" s="43">
        <v>46.896988012917802</v>
      </c>
      <c r="O88" s="43">
        <v>5.0818387082456002</v>
      </c>
      <c r="P88" s="43">
        <v>13.6129219656545</v>
      </c>
    </row>
    <row r="89" spans="1:16">
      <c r="A89" s="45" t="s">
        <v>283</v>
      </c>
      <c r="B89" s="40" t="s">
        <v>143</v>
      </c>
      <c r="C89" s="45" t="s">
        <v>220</v>
      </c>
      <c r="D89" s="41" t="s">
        <v>165</v>
      </c>
      <c r="E89" s="42">
        <v>7.9770000000000003</v>
      </c>
      <c r="F89" s="43">
        <v>25.07</v>
      </c>
      <c r="G89" s="43">
        <v>21.27</v>
      </c>
      <c r="H89" s="43">
        <v>0.504852502322648</v>
      </c>
      <c r="I89" s="43">
        <v>0.60902158054608002</v>
      </c>
      <c r="J89" s="43">
        <v>9.9169166829372397</v>
      </c>
      <c r="K89" s="43">
        <v>6.3864522351910002</v>
      </c>
      <c r="L89" s="43">
        <v>34.3892172120566</v>
      </c>
      <c r="M89" s="43">
        <v>0.607398630127582</v>
      </c>
      <c r="N89" s="43">
        <v>41.862572297929603</v>
      </c>
      <c r="O89" s="43">
        <v>6.5094000000000003</v>
      </c>
      <c r="P89" s="43">
        <v>10.661451584580901</v>
      </c>
    </row>
    <row r="90" spans="1:16">
      <c r="A90" s="45" t="s">
        <v>286</v>
      </c>
      <c r="B90" s="40" t="s">
        <v>143</v>
      </c>
      <c r="C90" s="45" t="s">
        <v>220</v>
      </c>
      <c r="D90" s="41" t="s">
        <v>165</v>
      </c>
      <c r="E90" s="42">
        <v>7.4329999999999998</v>
      </c>
      <c r="F90" s="43">
        <v>29.035</v>
      </c>
      <c r="G90" s="43">
        <v>22.035</v>
      </c>
      <c r="H90" s="43">
        <v>0.39020249180197597</v>
      </c>
      <c r="I90" s="43">
        <v>0.764140881963846</v>
      </c>
      <c r="J90" s="43">
        <v>10.690625215363699</v>
      </c>
      <c r="K90" s="43">
        <v>8.1860163923423404</v>
      </c>
      <c r="L90" s="43">
        <v>35.278109145894398</v>
      </c>
      <c r="M90" s="43">
        <v>0.34968883652479404</v>
      </c>
      <c r="N90" s="43">
        <v>30.637386594368198</v>
      </c>
      <c r="O90" s="43">
        <v>6.5352999819544397</v>
      </c>
      <c r="P90" s="43">
        <v>12.118964921867001</v>
      </c>
    </row>
    <row r="91" spans="1:16">
      <c r="A91" s="45" t="s">
        <v>288</v>
      </c>
      <c r="B91" s="40" t="s">
        <v>143</v>
      </c>
      <c r="C91" s="45" t="s">
        <v>149</v>
      </c>
      <c r="D91" s="45" t="s">
        <v>39</v>
      </c>
      <c r="E91" s="42">
        <v>7.3239999999999998</v>
      </c>
      <c r="F91" s="43">
        <v>41.51</v>
      </c>
      <c r="G91" s="43">
        <v>14.78</v>
      </c>
      <c r="H91" s="43">
        <v>0.27599514463549402</v>
      </c>
      <c r="I91" s="43">
        <v>2.0530796565878</v>
      </c>
      <c r="J91" s="43">
        <v>14.4293353734618</v>
      </c>
      <c r="K91" s="43">
        <v>4.6701757412351999</v>
      </c>
      <c r="L91" s="43">
        <v>49.796414450790401</v>
      </c>
      <c r="M91" s="43">
        <v>0.48801969340085799</v>
      </c>
      <c r="N91" s="43">
        <v>21.226731456343199</v>
      </c>
      <c r="O91" s="43">
        <v>1.3814960738780799</v>
      </c>
      <c r="P91" s="43">
        <v>3.8767768763569999</v>
      </c>
    </row>
    <row r="92" spans="1:16">
      <c r="A92" s="45" t="s">
        <v>290</v>
      </c>
      <c r="B92" s="40" t="s">
        <v>143</v>
      </c>
      <c r="C92" s="45" t="s">
        <v>149</v>
      </c>
      <c r="D92" s="45" t="s">
        <v>39</v>
      </c>
      <c r="E92" s="42">
        <v>7.5419999999999998</v>
      </c>
      <c r="F92" s="43">
        <v>16.34</v>
      </c>
      <c r="G92" s="43">
        <v>16.43</v>
      </c>
      <c r="H92" s="43">
        <v>0.38149834787076797</v>
      </c>
      <c r="I92" s="43">
        <v>5.1994279711284399</v>
      </c>
      <c r="J92" s="43">
        <v>13.050236880001201</v>
      </c>
      <c r="K92" s="43">
        <v>8.8048371624049206</v>
      </c>
      <c r="L92" s="43">
        <v>61.645419890438404</v>
      </c>
      <c r="M92" s="43">
        <v>1.0318351504994381</v>
      </c>
      <c r="N92" s="43">
        <v>19.868205054220098</v>
      </c>
      <c r="O92" s="43">
        <v>1.1299645060357999</v>
      </c>
      <c r="P92" s="43">
        <v>8.563145376483881</v>
      </c>
    </row>
    <row r="93" spans="1:16">
      <c r="A93" s="45" t="s">
        <v>292</v>
      </c>
      <c r="B93" s="40" t="s">
        <v>143</v>
      </c>
      <c r="C93" s="45" t="s">
        <v>149</v>
      </c>
      <c r="D93" s="45" t="s">
        <v>39</v>
      </c>
      <c r="E93" s="42">
        <v>7.6029999999999998</v>
      </c>
      <c r="F93" s="43">
        <v>25.39</v>
      </c>
      <c r="G93" s="43">
        <v>18.167999999999999</v>
      </c>
      <c r="H93" s="43">
        <v>0.49988659509646399</v>
      </c>
      <c r="I93" s="43">
        <v>3.4343425518821</v>
      </c>
      <c r="J93" s="43">
        <v>14.666882132119119</v>
      </c>
      <c r="K93" s="43">
        <v>8.2988941249261803</v>
      </c>
      <c r="L93" s="43">
        <v>40.581597327592796</v>
      </c>
      <c r="M93" s="43">
        <v>0.82915649249988999</v>
      </c>
      <c r="N93" s="43">
        <v>13.6510268583783</v>
      </c>
      <c r="O93" s="43">
        <v>1.36130130134796</v>
      </c>
      <c r="P93" s="43">
        <v>9.5897856167070188</v>
      </c>
    </row>
    <row r="94" spans="1:16">
      <c r="A94" s="45" t="s">
        <v>295</v>
      </c>
      <c r="B94" s="40" t="s">
        <v>143</v>
      </c>
      <c r="C94" s="45" t="s">
        <v>149</v>
      </c>
      <c r="D94" s="45" t="s">
        <v>39</v>
      </c>
      <c r="E94" s="42">
        <v>7.0030000000000001</v>
      </c>
      <c r="F94" s="43">
        <v>27.47</v>
      </c>
      <c r="G94" s="43">
        <v>13.603999999999999</v>
      </c>
      <c r="H94" s="43">
        <v>0.67864249759965201</v>
      </c>
      <c r="I94" s="43">
        <v>2.06184553935242</v>
      </c>
      <c r="J94" s="43">
        <v>13.36995319552986</v>
      </c>
      <c r="K94" s="43">
        <v>4.8524880726861204</v>
      </c>
      <c r="L94" s="43">
        <v>36.412165694926301</v>
      </c>
      <c r="M94" s="43">
        <v>0.97803182320857607</v>
      </c>
      <c r="N94" s="43">
        <v>11.175557302516699</v>
      </c>
      <c r="O94" s="43">
        <v>2.0851445338661998</v>
      </c>
      <c r="P94" s="43">
        <v>6.74482023888201</v>
      </c>
    </row>
    <row r="95" spans="1:16">
      <c r="A95" s="45" t="s">
        <v>298</v>
      </c>
      <c r="B95" s="40" t="s">
        <v>143</v>
      </c>
      <c r="C95" s="45" t="s">
        <v>149</v>
      </c>
      <c r="D95" s="41" t="s">
        <v>165</v>
      </c>
      <c r="E95" s="42">
        <v>7.4960000000000004</v>
      </c>
      <c r="F95" s="43">
        <v>38.909999999999997</v>
      </c>
      <c r="G95" s="43">
        <v>13.44</v>
      </c>
      <c r="H95" s="43">
        <v>0.306760295475978</v>
      </c>
      <c r="I95" s="43">
        <v>1.3135011480046179</v>
      </c>
      <c r="J95" s="43">
        <v>19.540393239716522</v>
      </c>
      <c r="K95" s="43">
        <v>12.48929811760668</v>
      </c>
      <c r="L95" s="43">
        <v>53.040614564624001</v>
      </c>
      <c r="M95" s="43">
        <v>0.69713316038387196</v>
      </c>
      <c r="N95" s="43">
        <v>20.677202974443396</v>
      </c>
      <c r="O95" s="43">
        <v>15.450778200721441</v>
      </c>
      <c r="P95" s="43">
        <v>5.7589134575533798</v>
      </c>
    </row>
    <row r="96" spans="1:16">
      <c r="A96" s="45" t="s">
        <v>301</v>
      </c>
      <c r="B96" s="40" t="s">
        <v>143</v>
      </c>
      <c r="C96" s="45" t="s">
        <v>149</v>
      </c>
      <c r="D96" s="41" t="s">
        <v>165</v>
      </c>
      <c r="E96" s="42">
        <v>7.5339999999999998</v>
      </c>
      <c r="F96" s="43">
        <v>37.46</v>
      </c>
      <c r="G96" s="43">
        <v>17.02</v>
      </c>
      <c r="H96" s="43">
        <v>0.40102790178132003</v>
      </c>
      <c r="I96" s="43">
        <v>3.6457926788412998</v>
      </c>
      <c r="J96" s="43">
        <v>13.506920801060939</v>
      </c>
      <c r="K96" s="43">
        <v>9.1794764730188607</v>
      </c>
      <c r="L96" s="43">
        <v>45.760940435018</v>
      </c>
      <c r="M96" s="43">
        <v>1.2206459234300799</v>
      </c>
      <c r="N96" s="43">
        <v>19.907545139003219</v>
      </c>
      <c r="O96" s="43">
        <v>11.24984704520686</v>
      </c>
      <c r="P96" s="43">
        <v>7.0349040690518203</v>
      </c>
    </row>
    <row r="97" spans="1:16">
      <c r="A97" s="45" t="s">
        <v>303</v>
      </c>
      <c r="B97" s="40" t="s">
        <v>143</v>
      </c>
      <c r="C97" s="45" t="s">
        <v>149</v>
      </c>
      <c r="D97" s="41" t="s">
        <v>165</v>
      </c>
      <c r="E97" s="42">
        <v>7.68</v>
      </c>
      <c r="F97" s="43">
        <v>29.7</v>
      </c>
      <c r="G97" s="43">
        <v>16.942</v>
      </c>
      <c r="H97" s="43">
        <v>0.32494122615733201</v>
      </c>
      <c r="I97" s="43">
        <v>1.8957343529553401</v>
      </c>
      <c r="J97" s="43">
        <v>14.954964582689</v>
      </c>
      <c r="K97" s="43">
        <v>11.018276844055478</v>
      </c>
      <c r="L97" s="43">
        <v>43.183322106629397</v>
      </c>
      <c r="M97" s="43">
        <v>0.61179416374361206</v>
      </c>
      <c r="N97" s="43">
        <v>14.4097693634181</v>
      </c>
      <c r="O97" s="43">
        <v>13.815188287881881</v>
      </c>
      <c r="P97" s="43">
        <v>4.6593651175787194</v>
      </c>
    </row>
    <row r="98" spans="1:16">
      <c r="A98" s="45" t="s">
        <v>306</v>
      </c>
      <c r="B98" s="40" t="s">
        <v>143</v>
      </c>
      <c r="C98" s="45" t="s">
        <v>149</v>
      </c>
      <c r="D98" s="41" t="s">
        <v>165</v>
      </c>
      <c r="E98" s="42">
        <v>7.3109999999999999</v>
      </c>
      <c r="F98" s="43">
        <v>26.11</v>
      </c>
      <c r="G98" s="43">
        <v>16.629000000000001</v>
      </c>
      <c r="H98" s="43">
        <v>0.29659004178909798</v>
      </c>
      <c r="I98" s="43">
        <v>1.0624845121478279</v>
      </c>
      <c r="J98" s="43">
        <v>12.765982888290079</v>
      </c>
      <c r="K98" s="43">
        <v>7.6585217508253001</v>
      </c>
      <c r="L98" s="43">
        <v>29.570726255544201</v>
      </c>
      <c r="M98" s="43">
        <v>0.52862987899675395</v>
      </c>
      <c r="N98" s="43">
        <v>14.4734223693921</v>
      </c>
      <c r="O98" s="43">
        <v>15.3715099148333</v>
      </c>
      <c r="P98" s="43">
        <v>5.0828286981090001</v>
      </c>
    </row>
    <row r="99" spans="1:16">
      <c r="A99" s="46" t="s">
        <v>309</v>
      </c>
      <c r="B99" s="47" t="s">
        <v>143</v>
      </c>
      <c r="C99" s="46" t="s">
        <v>149</v>
      </c>
      <c r="D99" s="48" t="s">
        <v>165</v>
      </c>
      <c r="E99" s="49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</row>
    <row r="100" spans="1:16">
      <c r="A100" s="45" t="s">
        <v>312</v>
      </c>
      <c r="B100" s="40" t="s">
        <v>143</v>
      </c>
      <c r="C100" s="45" t="s">
        <v>149</v>
      </c>
      <c r="D100" s="41" t="s">
        <v>165</v>
      </c>
      <c r="E100" s="42">
        <v>7.3239999999999998</v>
      </c>
      <c r="F100" s="43">
        <v>43.32</v>
      </c>
      <c r="G100" s="43">
        <v>11.27</v>
      </c>
      <c r="H100" s="43">
        <v>0.66236105966269998</v>
      </c>
      <c r="I100" s="43">
        <v>1.945047066530992</v>
      </c>
      <c r="J100" s="43">
        <v>11.452085926950719</v>
      </c>
      <c r="K100" s="43">
        <v>8.3815737770148004</v>
      </c>
      <c r="L100" s="43">
        <v>37.260462694515802</v>
      </c>
      <c r="M100" s="43">
        <v>0.92762315796967598</v>
      </c>
      <c r="N100" s="43">
        <v>15.0253788232873</v>
      </c>
      <c r="O100" s="43">
        <v>13.385304016770601</v>
      </c>
      <c r="P100" s="43">
        <v>8.0508743641748595</v>
      </c>
    </row>
    <row r="101" spans="1:16">
      <c r="A101" s="45" t="s">
        <v>315</v>
      </c>
      <c r="B101" s="40" t="s">
        <v>143</v>
      </c>
      <c r="C101" s="45" t="s">
        <v>38</v>
      </c>
      <c r="D101" s="45" t="s">
        <v>39</v>
      </c>
      <c r="E101" s="42">
        <v>6.069</v>
      </c>
      <c r="F101" s="43">
        <v>25.59</v>
      </c>
      <c r="G101" s="43">
        <v>14.33</v>
      </c>
      <c r="H101" s="43">
        <v>0.63347432447999996</v>
      </c>
      <c r="I101" s="43">
        <v>0.37612318956635998</v>
      </c>
      <c r="J101" s="43">
        <v>9.6787140709033999</v>
      </c>
      <c r="K101" s="43">
        <v>1.7390425903728639</v>
      </c>
      <c r="L101" s="43">
        <v>17.944852360869898</v>
      </c>
      <c r="M101" s="43">
        <v>0.89726395585088004</v>
      </c>
      <c r="N101" s="43">
        <v>11.5960002007638</v>
      </c>
      <c r="O101" s="43">
        <v>1.5320789030468001</v>
      </c>
      <c r="P101" s="43">
        <v>5.0827584433804791</v>
      </c>
    </row>
    <row r="102" spans="1:16">
      <c r="A102" s="45" t="s">
        <v>318</v>
      </c>
      <c r="B102" s="40" t="s">
        <v>143</v>
      </c>
      <c r="C102" s="45" t="s">
        <v>38</v>
      </c>
      <c r="D102" s="45" t="s">
        <v>39</v>
      </c>
      <c r="E102" s="42">
        <v>6.5880000000000001</v>
      </c>
      <c r="F102" s="43">
        <v>25.36</v>
      </c>
      <c r="G102" s="43">
        <v>10.279</v>
      </c>
      <c r="H102" s="43">
        <v>0.63643047287564991</v>
      </c>
      <c r="I102" s="43">
        <v>6.0934364549084997E-2</v>
      </c>
      <c r="J102" s="43">
        <v>9.2504671906815403</v>
      </c>
      <c r="K102" s="43">
        <v>2.89107929755912</v>
      </c>
      <c r="L102" s="43">
        <v>15.998504645816361</v>
      </c>
      <c r="M102" s="43">
        <v>0.53429444312254804</v>
      </c>
      <c r="N102" s="43">
        <v>10.236741463816701</v>
      </c>
      <c r="O102" s="43">
        <v>1.9413639943750001</v>
      </c>
      <c r="P102" s="43">
        <v>4.1054303890500101</v>
      </c>
    </row>
    <row r="103" spans="1:16">
      <c r="A103" s="45" t="s">
        <v>321</v>
      </c>
      <c r="B103" s="40" t="s">
        <v>143</v>
      </c>
      <c r="C103" s="45" t="s">
        <v>38</v>
      </c>
      <c r="D103" s="45" t="s">
        <v>39</v>
      </c>
      <c r="E103" s="42">
        <v>6.53</v>
      </c>
      <c r="F103" s="43">
        <v>24.23</v>
      </c>
      <c r="G103" s="43">
        <v>13.95</v>
      </c>
      <c r="H103" s="43">
        <v>0.49109514731827397</v>
      </c>
      <c r="I103" s="43">
        <v>6.8554936861028606E-2</v>
      </c>
      <c r="J103" s="43">
        <v>11.85888833648092</v>
      </c>
      <c r="K103" s="43">
        <v>2.1078098287998399</v>
      </c>
      <c r="L103" s="43">
        <v>13.849193012082219</v>
      </c>
      <c r="M103" s="43">
        <v>0.56142994795941403</v>
      </c>
      <c r="N103" s="43">
        <v>15.758939021799099</v>
      </c>
      <c r="O103" s="43">
        <v>1.6266107765067599</v>
      </c>
      <c r="P103" s="43">
        <v>4.1021324848482799</v>
      </c>
    </row>
    <row r="104" spans="1:16">
      <c r="A104" s="45" t="s">
        <v>324</v>
      </c>
      <c r="B104" s="40" t="s">
        <v>143</v>
      </c>
      <c r="C104" s="45" t="s">
        <v>38</v>
      </c>
      <c r="D104" s="45" t="s">
        <v>39</v>
      </c>
      <c r="E104" s="42">
        <v>6.391</v>
      </c>
      <c r="F104" s="43">
        <v>25.15</v>
      </c>
      <c r="G104" s="43">
        <v>9.2110000000000003</v>
      </c>
      <c r="H104" s="43">
        <v>0.43370409135672799</v>
      </c>
      <c r="I104" s="43">
        <v>4.9881315288831399E-2</v>
      </c>
      <c r="J104" s="43">
        <v>8.3330569249537607</v>
      </c>
      <c r="K104" s="43">
        <v>2.7875425391908997</v>
      </c>
      <c r="L104" s="43">
        <v>13.733634536200201</v>
      </c>
      <c r="M104" s="43">
        <v>0.610235791950822</v>
      </c>
      <c r="N104" s="43">
        <v>9.9743055516715593</v>
      </c>
      <c r="O104" s="43">
        <v>1.0932454359999999</v>
      </c>
      <c r="P104" s="43">
        <v>4.6101851977155803</v>
      </c>
    </row>
    <row r="105" spans="1:16">
      <c r="A105" s="45" t="s">
        <v>327</v>
      </c>
      <c r="B105" s="40" t="s">
        <v>143</v>
      </c>
      <c r="C105" s="45" t="s">
        <v>38</v>
      </c>
      <c r="D105" s="45" t="s">
        <v>39</v>
      </c>
      <c r="E105" s="42">
        <v>6.4119999999999999</v>
      </c>
      <c r="F105" s="43">
        <v>24.75</v>
      </c>
      <c r="G105" s="43">
        <v>10.702</v>
      </c>
      <c r="H105" s="43">
        <v>0.54501957999171002</v>
      </c>
      <c r="I105" s="43">
        <v>5.0896664416198799E-2</v>
      </c>
      <c r="J105" s="43">
        <v>7.4850344297603399</v>
      </c>
      <c r="K105" s="43">
        <v>3.2052067521213203</v>
      </c>
      <c r="L105" s="43">
        <v>13.778182752525401</v>
      </c>
      <c r="M105" s="43">
        <v>0.80129037191629005</v>
      </c>
      <c r="N105" s="43">
        <v>12.37935618243932</v>
      </c>
      <c r="O105" s="43">
        <v>0.98345344999999995</v>
      </c>
      <c r="P105" s="43">
        <v>4.9292228974180903</v>
      </c>
    </row>
    <row r="106" spans="1:16">
      <c r="A106" s="45" t="s">
        <v>330</v>
      </c>
      <c r="B106" s="40" t="s">
        <v>143</v>
      </c>
      <c r="C106" s="45" t="s">
        <v>38</v>
      </c>
      <c r="D106" s="41" t="s">
        <v>165</v>
      </c>
      <c r="E106" s="42">
        <v>6.4630000000000001</v>
      </c>
      <c r="F106" s="43">
        <v>38.72</v>
      </c>
      <c r="G106" s="43">
        <v>15.372</v>
      </c>
      <c r="H106" s="43">
        <v>0.235859415863724</v>
      </c>
      <c r="I106" s="43">
        <v>5.5554186511966003E-2</v>
      </c>
      <c r="J106" s="43">
        <v>8.9423330173251596</v>
      </c>
      <c r="K106" s="43">
        <v>2.7956160273298001</v>
      </c>
      <c r="L106" s="43">
        <v>25.5564413967126</v>
      </c>
      <c r="M106" s="43">
        <v>0.49969754474588796</v>
      </c>
      <c r="N106" s="43">
        <v>26.100200443593302</v>
      </c>
      <c r="O106" s="43">
        <v>10.230923000000001</v>
      </c>
      <c r="P106" s="43">
        <v>1.50694702763654</v>
      </c>
    </row>
    <row r="107" spans="1:16">
      <c r="A107" s="45" t="s">
        <v>333</v>
      </c>
      <c r="B107" s="40" t="s">
        <v>143</v>
      </c>
      <c r="C107" s="45" t="s">
        <v>38</v>
      </c>
      <c r="D107" s="41" t="s">
        <v>165</v>
      </c>
      <c r="E107" s="42">
        <v>6.1609999999999996</v>
      </c>
      <c r="F107" s="43">
        <v>23.46</v>
      </c>
      <c r="G107" s="43">
        <v>11.44</v>
      </c>
      <c r="H107" s="43">
        <v>0.31181230708419999</v>
      </c>
      <c r="I107" s="43">
        <v>5.6129818399573803E-2</v>
      </c>
      <c r="J107" s="43">
        <v>10.2984885482973</v>
      </c>
      <c r="K107" s="43">
        <v>3.7036725094030598</v>
      </c>
      <c r="L107" s="43">
        <v>25.022757576982801</v>
      </c>
      <c r="M107" s="43">
        <v>0.43737132207600804</v>
      </c>
      <c r="N107" s="43">
        <v>24.5867563721206</v>
      </c>
      <c r="O107" s="43">
        <v>13.0923832</v>
      </c>
      <c r="P107" s="43">
        <v>1.5866275045903799</v>
      </c>
    </row>
    <row r="108" spans="1:16">
      <c r="A108" s="45" t="s">
        <v>336</v>
      </c>
      <c r="B108" s="40" t="s">
        <v>143</v>
      </c>
      <c r="C108" s="45" t="s">
        <v>38</v>
      </c>
      <c r="D108" s="41" t="s">
        <v>165</v>
      </c>
      <c r="E108" s="42">
        <v>6.6529999999999996</v>
      </c>
      <c r="F108" s="43">
        <v>22.99</v>
      </c>
      <c r="G108" s="43">
        <v>11.132</v>
      </c>
      <c r="H108" s="43">
        <v>0.30836548939029401</v>
      </c>
      <c r="I108" s="43">
        <v>4.6453867130773596E-2</v>
      </c>
      <c r="J108" s="43">
        <v>6.0850336158754201</v>
      </c>
      <c r="K108" s="43">
        <v>2.6068282810489101</v>
      </c>
      <c r="L108" s="43">
        <v>27.9925037778129</v>
      </c>
      <c r="M108" s="43">
        <v>0.39705142791259596</v>
      </c>
      <c r="N108" s="43">
        <v>20.033044894588599</v>
      </c>
      <c r="O108" s="43">
        <v>10.415608050755122</v>
      </c>
      <c r="P108" s="43">
        <v>1.27692029543236</v>
      </c>
    </row>
    <row r="109" spans="1:16">
      <c r="A109" s="45" t="s">
        <v>339</v>
      </c>
      <c r="B109" s="40" t="s">
        <v>143</v>
      </c>
      <c r="C109" s="45" t="s">
        <v>38</v>
      </c>
      <c r="D109" s="41" t="s">
        <v>165</v>
      </c>
      <c r="E109" s="42">
        <v>6.8540000000000001</v>
      </c>
      <c r="F109" s="43">
        <v>22.84</v>
      </c>
      <c r="G109" s="43">
        <v>14.94</v>
      </c>
      <c r="H109" s="43">
        <v>0.249302544822364</v>
      </c>
      <c r="I109" s="43">
        <v>4.72898148429396E-2</v>
      </c>
      <c r="J109" s="43">
        <v>12.006707865940299</v>
      </c>
      <c r="K109" s="43">
        <v>4.4109531485450599</v>
      </c>
      <c r="L109" s="43">
        <v>27.045651520435602</v>
      </c>
      <c r="M109" s="43">
        <v>0.62147076585480598</v>
      </c>
      <c r="N109" s="43">
        <v>29.641870430839997</v>
      </c>
      <c r="O109" s="43">
        <v>21.311858361434602</v>
      </c>
      <c r="P109" s="43">
        <v>1.219882603991006</v>
      </c>
    </row>
    <row r="110" spans="1:16">
      <c r="A110" s="45" t="s">
        <v>341</v>
      </c>
      <c r="B110" s="40" t="s">
        <v>143</v>
      </c>
      <c r="C110" s="45" t="s">
        <v>38</v>
      </c>
      <c r="D110" s="41" t="s">
        <v>165</v>
      </c>
      <c r="E110" s="42">
        <v>6.18</v>
      </c>
      <c r="F110" s="43">
        <v>29.48</v>
      </c>
      <c r="G110" s="43">
        <v>9.4309999999999992</v>
      </c>
      <c r="H110" s="43">
        <v>0.45123253327157997</v>
      </c>
      <c r="I110" s="43">
        <v>5.7945760011344001E-2</v>
      </c>
      <c r="J110" s="43">
        <v>10.496036704221</v>
      </c>
      <c r="K110" s="43">
        <v>2.6985387102717402</v>
      </c>
      <c r="L110" s="43">
        <v>25.555043303697001</v>
      </c>
      <c r="M110" s="43">
        <v>0.68407900654008602</v>
      </c>
      <c r="N110" s="43">
        <v>23.085418210282501</v>
      </c>
      <c r="O110" s="43">
        <v>16.0860768163794</v>
      </c>
      <c r="P110" s="43">
        <v>1.7747451197433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A864-67D2-4C9C-8400-A6933E55C8E9}">
  <dimension ref="A1:P110"/>
  <sheetViews>
    <sheetView tabSelected="1" workbookViewId="0">
      <selection activeCell="A72" sqref="A72:A79"/>
    </sheetView>
  </sheetViews>
  <sheetFormatPr defaultRowHeight="14.4"/>
  <cols>
    <col min="1" max="1" width="11.5546875" bestFit="1" customWidth="1"/>
    <col min="2" max="2" width="11.88671875" bestFit="1" customWidth="1"/>
    <col min="3" max="3" width="11.33203125" bestFit="1" customWidth="1"/>
    <col min="4" max="4" width="13" bestFit="1" customWidth="1"/>
    <col min="5" max="5" width="7.44140625" style="36" bestFit="1" customWidth="1"/>
  </cols>
  <sheetData>
    <row r="1" spans="1:16">
      <c r="A1" t="s">
        <v>6</v>
      </c>
      <c r="B1" t="s">
        <v>7</v>
      </c>
      <c r="C1" t="s">
        <v>9</v>
      </c>
      <c r="D1" t="s">
        <v>10</v>
      </c>
      <c r="E1" s="38" t="s">
        <v>344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</row>
    <row r="2" spans="1:16">
      <c r="A2" t="s">
        <v>361</v>
      </c>
      <c r="B2" t="s">
        <v>143</v>
      </c>
      <c r="C2" t="s">
        <v>158</v>
      </c>
      <c r="D2" t="s">
        <v>39</v>
      </c>
      <c r="E2" s="42">
        <v>7.798</v>
      </c>
      <c r="F2">
        <v>1.9542005028742901</v>
      </c>
      <c r="G2">
        <v>0.58600200020140536</v>
      </c>
      <c r="H2">
        <v>1.9971909665221402E-2</v>
      </c>
      <c r="I2">
        <v>0.10541176883677474</v>
      </c>
      <c r="J2">
        <v>0.40532962419107593</v>
      </c>
      <c r="K2">
        <v>0.21328696438721306</v>
      </c>
      <c r="L2">
        <v>1.6730695788444143</v>
      </c>
      <c r="M2">
        <v>0.10389900110361718</v>
      </c>
      <c r="N2">
        <v>0.32695850548653616</v>
      </c>
      <c r="O2">
        <v>4.8417598086152043E-2</v>
      </c>
      <c r="P2">
        <v>0.53263372553458199</v>
      </c>
    </row>
    <row r="3" spans="1:16">
      <c r="A3" t="s">
        <v>362</v>
      </c>
      <c r="B3" t="s">
        <v>143</v>
      </c>
      <c r="C3" t="s">
        <v>158</v>
      </c>
      <c r="D3" t="s">
        <v>39</v>
      </c>
      <c r="E3" s="42">
        <v>7.75</v>
      </c>
      <c r="F3">
        <v>1.461574406682659</v>
      </c>
      <c r="G3">
        <v>0.5738480693593756</v>
      </c>
      <c r="H3">
        <v>2.2359934655567078E-2</v>
      </c>
      <c r="I3">
        <v>0.15567502035030695</v>
      </c>
      <c r="J3">
        <v>0.58823817505608389</v>
      </c>
      <c r="K3">
        <v>0.21234042798226088</v>
      </c>
      <c r="L3">
        <v>3.44906965687069</v>
      </c>
      <c r="M3">
        <v>9.3814682535186877E-2</v>
      </c>
      <c r="N3">
        <v>0.55954370745353632</v>
      </c>
      <c r="O3">
        <v>0.1437909711232887</v>
      </c>
      <c r="P3">
        <v>0.46985245980387691</v>
      </c>
    </row>
    <row r="4" spans="1:16">
      <c r="A4" t="s">
        <v>359</v>
      </c>
      <c r="B4" t="s">
        <v>143</v>
      </c>
      <c r="C4" t="s">
        <v>158</v>
      </c>
      <c r="D4" t="s">
        <v>39</v>
      </c>
      <c r="E4" s="42">
        <v>7.4249999999999998</v>
      </c>
      <c r="F4">
        <v>2.2358913655103696</v>
      </c>
      <c r="G4">
        <v>0.74360633889251415</v>
      </c>
      <c r="H4">
        <v>2.3857439156861997E-2</v>
      </c>
      <c r="I4">
        <v>0.15299132181904215</v>
      </c>
      <c r="J4">
        <v>0.91422745650351878</v>
      </c>
      <c r="K4">
        <v>0.39203537922361148</v>
      </c>
      <c r="L4">
        <v>2.1028430951159822</v>
      </c>
      <c r="M4">
        <v>5.1642960582931406E-2</v>
      </c>
      <c r="N4">
        <v>0.73766686770855827</v>
      </c>
      <c r="O4">
        <v>5.2626235769288265E-2</v>
      </c>
      <c r="P4">
        <v>0.40776392487065882</v>
      </c>
    </row>
    <row r="5" spans="1:16">
      <c r="A5" t="s">
        <v>363</v>
      </c>
      <c r="B5" t="s">
        <v>143</v>
      </c>
      <c r="C5" t="s">
        <v>158</v>
      </c>
      <c r="D5" t="s">
        <v>39</v>
      </c>
      <c r="E5" s="42">
        <v>7.3650000000000002</v>
      </c>
      <c r="F5">
        <v>2.1954047493545432</v>
      </c>
      <c r="G5">
        <v>0.69152865023115595</v>
      </c>
      <c r="H5">
        <v>2.3248009478610374E-2</v>
      </c>
      <c r="I5">
        <v>0.10838652601755734</v>
      </c>
      <c r="J5">
        <v>0.73999793150019455</v>
      </c>
      <c r="K5">
        <v>0.30789802858889997</v>
      </c>
      <c r="L5">
        <v>2.7571582680479252</v>
      </c>
      <c r="M5">
        <v>0.12581446179736949</v>
      </c>
      <c r="N5">
        <v>0.48265458310754056</v>
      </c>
      <c r="O5">
        <v>0.14399090790696117</v>
      </c>
      <c r="P5">
        <v>0.48375289453890791</v>
      </c>
    </row>
    <row r="6" spans="1:16">
      <c r="A6" t="s">
        <v>364</v>
      </c>
      <c r="B6" t="s">
        <v>143</v>
      </c>
      <c r="C6" t="s">
        <v>158</v>
      </c>
      <c r="D6" t="s">
        <v>39</v>
      </c>
      <c r="E6" s="42">
        <v>7.37</v>
      </c>
      <c r="F6">
        <v>1.032267192918493</v>
      </c>
      <c r="G6">
        <v>0.79487667562594855</v>
      </c>
      <c r="H6">
        <v>2.6729416235831041E-2</v>
      </c>
      <c r="I6">
        <v>0.10546281335031477</v>
      </c>
      <c r="J6">
        <v>0.73044001994434571</v>
      </c>
      <c r="K6">
        <v>0.29833249833459158</v>
      </c>
      <c r="L6">
        <v>1.6786334825179636</v>
      </c>
      <c r="M6">
        <v>7.7719062420713608E-2</v>
      </c>
      <c r="N6">
        <v>0.22312031181485303</v>
      </c>
      <c r="O6">
        <v>5.2465548000953988E-2</v>
      </c>
      <c r="P6">
        <v>0.66323290015711156</v>
      </c>
    </row>
    <row r="7" spans="1:16">
      <c r="A7" t="s">
        <v>365</v>
      </c>
      <c r="B7" t="s">
        <v>143</v>
      </c>
      <c r="C7" t="s">
        <v>158</v>
      </c>
      <c r="D7" t="s">
        <v>39</v>
      </c>
      <c r="E7" s="42">
        <v>7.4109999999999996</v>
      </c>
      <c r="F7">
        <v>2.2050121650810337</v>
      </c>
      <c r="G7">
        <v>0.88616400063037604</v>
      </c>
      <c r="H7">
        <v>3.514332916441016E-2</v>
      </c>
      <c r="I7">
        <v>0.13754075045302974</v>
      </c>
      <c r="J7">
        <v>0.67883113000148498</v>
      </c>
      <c r="K7">
        <v>0.47416629048322062</v>
      </c>
      <c r="L7">
        <v>2.5124721677359583</v>
      </c>
      <c r="M7">
        <v>0.13927878837050064</v>
      </c>
      <c r="N7">
        <v>0.8461294304262692</v>
      </c>
      <c r="O7">
        <v>0.1162646597303128</v>
      </c>
      <c r="P7">
        <v>0.88402523008928113</v>
      </c>
    </row>
    <row r="8" spans="1:16">
      <c r="A8" t="s">
        <v>360</v>
      </c>
      <c r="B8" t="s">
        <v>143</v>
      </c>
      <c r="C8" t="s">
        <v>158</v>
      </c>
      <c r="D8" t="s">
        <v>39</v>
      </c>
      <c r="E8" s="42">
        <v>7.5469999999999997</v>
      </c>
      <c r="F8">
        <v>2.4654997696913865</v>
      </c>
      <c r="G8">
        <v>0.81727314601566103</v>
      </c>
      <c r="H8">
        <v>2.8980720959402101E-2</v>
      </c>
      <c r="I8">
        <v>0.24136639050206549</v>
      </c>
      <c r="J8">
        <v>0.52952003276443615</v>
      </c>
      <c r="K8">
        <v>0.36937302487611567</v>
      </c>
      <c r="L8">
        <v>2.7900386014740457</v>
      </c>
      <c r="M8">
        <v>5.6999115574880015E-2</v>
      </c>
      <c r="N8">
        <v>0.57655235176009645</v>
      </c>
      <c r="O8">
        <v>6.8673219240375769E-2</v>
      </c>
      <c r="P8">
        <v>0.55167473864636851</v>
      </c>
    </row>
    <row r="9" spans="1:16">
      <c r="A9" t="s">
        <v>242</v>
      </c>
      <c r="B9" t="s">
        <v>143</v>
      </c>
      <c r="C9" t="s">
        <v>158</v>
      </c>
      <c r="D9" t="s">
        <v>165</v>
      </c>
      <c r="E9" s="42">
        <v>7.36</v>
      </c>
      <c r="F9">
        <v>1.5116453900709219</v>
      </c>
      <c r="G9">
        <v>0.47237659574468088</v>
      </c>
      <c r="H9">
        <v>2.4662704407192863E-2</v>
      </c>
      <c r="I9">
        <v>2.1515894640194804E-2</v>
      </c>
      <c r="J9">
        <v>0.58295978500648626</v>
      </c>
      <c r="K9">
        <v>0.25568995136210654</v>
      </c>
      <c r="L9">
        <v>2.3188415575784518</v>
      </c>
      <c r="M9">
        <v>9.6439012279202097E-2</v>
      </c>
      <c r="N9">
        <v>1.3855100012908015</v>
      </c>
      <c r="O9">
        <v>0.17476494708952223</v>
      </c>
      <c r="P9">
        <v>0.49038539776424639</v>
      </c>
    </row>
    <row r="10" spans="1:16">
      <c r="A10" t="s">
        <v>245</v>
      </c>
      <c r="B10" t="s">
        <v>143</v>
      </c>
      <c r="C10" t="s">
        <v>158</v>
      </c>
      <c r="D10" t="s">
        <v>165</v>
      </c>
      <c r="E10" s="42">
        <v>7.7290000000000001</v>
      </c>
      <c r="F10">
        <v>1.2023133116883118</v>
      </c>
      <c r="G10">
        <v>1.0120571392892821</v>
      </c>
      <c r="H10">
        <v>1.2065498429988723E-2</v>
      </c>
      <c r="I10">
        <v>2.1556960175838795E-2</v>
      </c>
      <c r="J10">
        <v>0.49251951377547953</v>
      </c>
      <c r="K10">
        <v>0.37618864365121513</v>
      </c>
      <c r="L10">
        <v>3.0203611317131527</v>
      </c>
      <c r="M10">
        <v>7.6151547141979858E-2</v>
      </c>
      <c r="N10">
        <v>1.8827693259065328</v>
      </c>
      <c r="O10">
        <v>0.18145777232790325</v>
      </c>
      <c r="P10">
        <v>0.46892596573578649</v>
      </c>
    </row>
    <row r="11" spans="1:16">
      <c r="A11" t="s">
        <v>247</v>
      </c>
      <c r="B11" t="s">
        <v>143</v>
      </c>
      <c r="C11" t="s">
        <v>158</v>
      </c>
      <c r="D11" t="s">
        <v>165</v>
      </c>
      <c r="E11" s="42">
        <v>7.6319999999999997</v>
      </c>
      <c r="F11">
        <v>2.2231619925188935</v>
      </c>
      <c r="G11">
        <v>0.4382384607941831</v>
      </c>
      <c r="H11">
        <v>2.2811446738086313E-2</v>
      </c>
      <c r="I11">
        <v>3.1983149698495597E-2</v>
      </c>
      <c r="J11">
        <v>0.88704067407735299</v>
      </c>
      <c r="K11">
        <v>0.38713561006509145</v>
      </c>
      <c r="L11">
        <v>3.546563022937316</v>
      </c>
      <c r="M11">
        <v>9.7672029714490655E-2</v>
      </c>
      <c r="N11">
        <v>1.0667260994143901</v>
      </c>
      <c r="O11">
        <v>0.24852698819827465</v>
      </c>
      <c r="P11">
        <v>0.4824966757995644</v>
      </c>
    </row>
    <row r="12" spans="1:16">
      <c r="A12" t="s">
        <v>250</v>
      </c>
      <c r="B12" t="s">
        <v>143</v>
      </c>
      <c r="C12" t="s">
        <v>158</v>
      </c>
      <c r="D12" t="s">
        <v>165</v>
      </c>
      <c r="E12" s="42">
        <v>7.3330000000000002</v>
      </c>
      <c r="F12">
        <v>1.4185310371300914</v>
      </c>
      <c r="G12">
        <v>0.7858310158280849</v>
      </c>
      <c r="H12">
        <v>3.9433509092161992E-2</v>
      </c>
      <c r="I12">
        <v>6.1002517087951395E-2</v>
      </c>
      <c r="J12">
        <v>0.57719571181325202</v>
      </c>
      <c r="K12">
        <v>0.23624656324177945</v>
      </c>
      <c r="L12">
        <v>2.1391982550361481</v>
      </c>
      <c r="M12">
        <v>0.10995949560645892</v>
      </c>
      <c r="N12">
        <v>1.2917145933481091</v>
      </c>
      <c r="O12">
        <v>0.42231345570431755</v>
      </c>
      <c r="P12">
        <v>0.4975236261989685</v>
      </c>
    </row>
    <row r="13" spans="1:16">
      <c r="A13" t="s">
        <v>253</v>
      </c>
      <c r="B13" t="s">
        <v>143</v>
      </c>
      <c r="C13" t="s">
        <v>158</v>
      </c>
      <c r="D13" t="s">
        <v>165</v>
      </c>
      <c r="E13" s="42">
        <v>7.38</v>
      </c>
      <c r="F13">
        <v>1.1840114849326724</v>
      </c>
      <c r="G13">
        <v>0.52280370601762627</v>
      </c>
      <c r="H13">
        <v>2.4031156770658306E-2</v>
      </c>
      <c r="I13">
        <v>2.8849097429624802E-2</v>
      </c>
      <c r="J13">
        <v>0.53812906504421876</v>
      </c>
      <c r="K13">
        <v>0.24775058068301803</v>
      </c>
      <c r="L13">
        <v>2.302195202516871</v>
      </c>
      <c r="M13">
        <v>9.3658175453492809E-2</v>
      </c>
      <c r="N13">
        <v>0.86784584784277385</v>
      </c>
      <c r="O13">
        <v>0.15448614490086968</v>
      </c>
      <c r="P13">
        <v>0.30261902496537729</v>
      </c>
    </row>
    <row r="14" spans="1:16">
      <c r="A14" t="s">
        <v>228</v>
      </c>
      <c r="B14" t="s">
        <v>143</v>
      </c>
      <c r="C14" t="s">
        <v>158</v>
      </c>
      <c r="D14" t="s">
        <v>165</v>
      </c>
      <c r="E14" s="42">
        <v>7.5090000000000003</v>
      </c>
      <c r="F14">
        <v>1.9899336046262577</v>
      </c>
      <c r="G14">
        <v>0.5631314777393911</v>
      </c>
      <c r="H14">
        <v>3.3618470309788977E-2</v>
      </c>
      <c r="I14">
        <v>2.3835369087048679E-2</v>
      </c>
      <c r="J14">
        <v>0.73883023149329963</v>
      </c>
      <c r="K14">
        <v>0.35102976799157809</v>
      </c>
      <c r="L14">
        <v>2.5757795757922484</v>
      </c>
      <c r="M14">
        <v>5.7572809021107049E-2</v>
      </c>
      <c r="N14">
        <v>1.5152359263232333</v>
      </c>
      <c r="O14">
        <v>0.11370313520821082</v>
      </c>
      <c r="P14">
        <v>0.46539286280205261</v>
      </c>
    </row>
    <row r="15" spans="1:16">
      <c r="A15" t="s">
        <v>255</v>
      </c>
      <c r="B15" t="s">
        <v>143</v>
      </c>
      <c r="C15" t="s">
        <v>158</v>
      </c>
      <c r="D15" t="s">
        <v>165</v>
      </c>
      <c r="E15" s="42">
        <v>7.5629999999999997</v>
      </c>
      <c r="F15">
        <v>2.3284713839750264</v>
      </c>
      <c r="G15">
        <v>0.69364151925078055</v>
      </c>
      <c r="H15">
        <v>2.2030917957748978E-2</v>
      </c>
      <c r="I15">
        <v>3.1504112476673146E-2</v>
      </c>
      <c r="J15">
        <v>0.44273290464818205</v>
      </c>
      <c r="K15">
        <v>0.21347801948072864</v>
      </c>
      <c r="L15">
        <v>2.2421494925909471</v>
      </c>
      <c r="M15">
        <v>7.5452596984096051E-2</v>
      </c>
      <c r="N15">
        <v>1.0277195903024998</v>
      </c>
      <c r="O15">
        <v>0.24885586044126834</v>
      </c>
      <c r="P15">
        <v>0.32296371266535417</v>
      </c>
    </row>
    <row r="16" spans="1:16">
      <c r="A16" t="s">
        <v>366</v>
      </c>
      <c r="B16" t="s">
        <v>143</v>
      </c>
      <c r="C16" t="s">
        <v>220</v>
      </c>
      <c r="D16" t="s">
        <v>39</v>
      </c>
      <c r="E16" s="42">
        <v>7.2210000000000001</v>
      </c>
      <c r="F16">
        <v>1.2113992202487778</v>
      </c>
      <c r="G16">
        <v>1.2100147639970649</v>
      </c>
      <c r="H16">
        <v>3.7052444511309929E-2</v>
      </c>
      <c r="I16">
        <v>6.4946251784393921E-3</v>
      </c>
      <c r="J16">
        <v>1.2370606065911607</v>
      </c>
      <c r="K16">
        <v>0.17117662730957181</v>
      </c>
      <c r="L16">
        <v>1.0045542588124523</v>
      </c>
      <c r="M16">
        <v>9.8364274833301957E-2</v>
      </c>
      <c r="N16">
        <v>0.23964997907847638</v>
      </c>
      <c r="O16">
        <v>6.9237168848903088E-2</v>
      </c>
      <c r="P16">
        <v>0.19866644560424085</v>
      </c>
    </row>
    <row r="17" spans="1:16">
      <c r="A17" t="s">
        <v>367</v>
      </c>
      <c r="B17" t="s">
        <v>143</v>
      </c>
      <c r="C17" t="s">
        <v>220</v>
      </c>
      <c r="D17" t="s">
        <v>39</v>
      </c>
      <c r="E17" s="42">
        <v>7.0810000000000004</v>
      </c>
      <c r="F17">
        <v>1.1794019933554816</v>
      </c>
      <c r="G17">
        <v>1.2746677740863785</v>
      </c>
      <c r="H17">
        <v>3.5442168115254975E-2</v>
      </c>
      <c r="I17">
        <v>3.9687875567209797E-3</v>
      </c>
      <c r="J17">
        <v>0.9801847607336911</v>
      </c>
      <c r="K17">
        <v>0.1399370024513229</v>
      </c>
      <c r="L17">
        <v>0.77833244899160958</v>
      </c>
      <c r="M17">
        <v>8.7400379923843682E-2</v>
      </c>
      <c r="N17">
        <v>0.44783306788099164</v>
      </c>
      <c r="O17">
        <v>0.1285680184387068</v>
      </c>
      <c r="P17">
        <v>0.2820611889873505</v>
      </c>
    </row>
    <row r="18" spans="1:16">
      <c r="A18" t="s">
        <v>368</v>
      </c>
      <c r="B18" t="s">
        <v>143</v>
      </c>
      <c r="C18" t="s">
        <v>220</v>
      </c>
      <c r="D18" t="s">
        <v>39</v>
      </c>
      <c r="E18" s="42">
        <v>6.8959999999999999</v>
      </c>
      <c r="F18">
        <v>1.2779542566709021</v>
      </c>
      <c r="G18">
        <v>0.69248081321473953</v>
      </c>
      <c r="H18">
        <v>2.4420679467459027E-2</v>
      </c>
      <c r="I18">
        <v>2.2906246256202741E-3</v>
      </c>
      <c r="J18">
        <v>0.62142669970264386</v>
      </c>
      <c r="K18">
        <v>6.3578619507504736E-2</v>
      </c>
      <c r="L18">
        <v>0.5610550963763018</v>
      </c>
      <c r="M18">
        <v>9.0655195009706799E-2</v>
      </c>
      <c r="N18">
        <v>0.16416808054217019</v>
      </c>
      <c r="O18">
        <v>4.6844052526403231E-2</v>
      </c>
      <c r="P18">
        <v>0.14861515911941164</v>
      </c>
    </row>
    <row r="19" spans="1:16">
      <c r="A19" t="s">
        <v>369</v>
      </c>
      <c r="B19" t="s">
        <v>143</v>
      </c>
      <c r="C19" t="s">
        <v>220</v>
      </c>
      <c r="D19" t="s">
        <v>39</v>
      </c>
      <c r="E19" s="42">
        <v>6.9290000000000003</v>
      </c>
      <c r="F19">
        <v>1.5507556440757722</v>
      </c>
      <c r="G19">
        <v>1.158302235743442</v>
      </c>
      <c r="H19">
        <v>6.1966806415295402E-2</v>
      </c>
      <c r="I19">
        <v>3.2160616811784597E-3</v>
      </c>
      <c r="J19">
        <v>1.0947674432805217</v>
      </c>
      <c r="K19">
        <v>0.21673769351545388</v>
      </c>
      <c r="L19">
        <v>0.5221613980433617</v>
      </c>
      <c r="M19">
        <v>0.17924057047765043</v>
      </c>
      <c r="N19">
        <v>0.14879463162254533</v>
      </c>
      <c r="O19">
        <v>8.8731761332568299E-2</v>
      </c>
      <c r="P19">
        <v>0.22359660045098403</v>
      </c>
    </row>
    <row r="20" spans="1:16">
      <c r="A20" t="s">
        <v>370</v>
      </c>
      <c r="B20" t="s">
        <v>143</v>
      </c>
      <c r="C20" t="s">
        <v>220</v>
      </c>
      <c r="D20" t="s">
        <v>39</v>
      </c>
      <c r="E20" s="42">
        <v>6.8879999999999999</v>
      </c>
      <c r="F20">
        <v>0.94015364206622887</v>
      </c>
      <c r="G20">
        <v>0.90257213999149755</v>
      </c>
      <c r="H20">
        <v>2.3083828364734979E-2</v>
      </c>
      <c r="I20">
        <v>3.6426108384082466E-3</v>
      </c>
      <c r="J20">
        <v>0.9355608912073019</v>
      </c>
      <c r="K20">
        <v>0.10406829741160738</v>
      </c>
      <c r="L20">
        <v>0.97933795981956573</v>
      </c>
      <c r="M20">
        <v>3.6565919268668041E-2</v>
      </c>
      <c r="N20">
        <v>0.18310189963892565</v>
      </c>
      <c r="O20">
        <v>0.13455568878830743</v>
      </c>
      <c r="P20">
        <v>0.19828844673997406</v>
      </c>
    </row>
    <row r="21" spans="1:16">
      <c r="A21" t="s">
        <v>371</v>
      </c>
      <c r="B21" t="s">
        <v>143</v>
      </c>
      <c r="C21" t="s">
        <v>220</v>
      </c>
      <c r="D21" t="s">
        <v>39</v>
      </c>
      <c r="E21" s="42">
        <v>6.8780000000000001</v>
      </c>
      <c r="F21">
        <v>0.91663854489164076</v>
      </c>
      <c r="G21">
        <v>0.92364551083591317</v>
      </c>
      <c r="H21">
        <v>4.5364634369591664E-2</v>
      </c>
      <c r="I21">
        <v>5.6955700896329248E-3</v>
      </c>
      <c r="J21">
        <v>0.77890436764067716</v>
      </c>
      <c r="K21">
        <v>0.10218133652986368</v>
      </c>
      <c r="L21">
        <v>0.53290034313177836</v>
      </c>
      <c r="M21">
        <v>5.5043838076776243E-2</v>
      </c>
      <c r="N21">
        <v>8.166972163284264E-2</v>
      </c>
      <c r="O21">
        <v>0.13477740275654004</v>
      </c>
      <c r="P21">
        <v>0.19662770142550323</v>
      </c>
    </row>
    <row r="22" spans="1:16">
      <c r="A22" t="s">
        <v>372</v>
      </c>
      <c r="B22" t="s">
        <v>143</v>
      </c>
      <c r="C22" t="s">
        <v>220</v>
      </c>
      <c r="D22" t="s">
        <v>39</v>
      </c>
      <c r="E22" s="42">
        <v>7.0910000000000002</v>
      </c>
      <c r="F22">
        <v>0.89360634920634907</v>
      </c>
      <c r="G22">
        <v>0.88278412698412678</v>
      </c>
      <c r="H22">
        <v>4.7961512266354513E-2</v>
      </c>
      <c r="I22">
        <v>9.9745474376924416E-3</v>
      </c>
      <c r="J22">
        <v>0.53577419598143106</v>
      </c>
      <c r="K22">
        <v>0.1079036579058707</v>
      </c>
      <c r="L22">
        <v>0.54819113996675795</v>
      </c>
      <c r="M22">
        <v>3.1617902973059338E-2</v>
      </c>
      <c r="N22">
        <v>8.873637411406439E-2</v>
      </c>
      <c r="O22">
        <v>7.7540581866252026E-2</v>
      </c>
      <c r="P22">
        <v>0.25790143549241268</v>
      </c>
    </row>
    <row r="23" spans="1:16">
      <c r="A23" t="s">
        <v>274</v>
      </c>
      <c r="B23" t="s">
        <v>143</v>
      </c>
      <c r="C23" t="s">
        <v>220</v>
      </c>
      <c r="D23" t="s">
        <v>165</v>
      </c>
      <c r="E23" s="42">
        <v>7.0659999999999998</v>
      </c>
      <c r="F23">
        <v>1.6508056900726398</v>
      </c>
      <c r="G23">
        <v>1.4341616222760294</v>
      </c>
      <c r="H23">
        <v>2.5978822902493558E-2</v>
      </c>
      <c r="I23">
        <v>3.1029194072224889E-2</v>
      </c>
      <c r="J23">
        <v>0.55284668805907022</v>
      </c>
      <c r="K23">
        <v>0.36924145487127846</v>
      </c>
      <c r="L23">
        <v>2.8719234729027656</v>
      </c>
      <c r="M23">
        <v>3.9544591788093386E-2</v>
      </c>
      <c r="N23">
        <v>2.9233907229777101</v>
      </c>
      <c r="O23">
        <v>0.20799583629055143</v>
      </c>
      <c r="P23">
        <v>0.56838002037024371</v>
      </c>
    </row>
    <row r="24" spans="1:16">
      <c r="A24" t="s">
        <v>277</v>
      </c>
      <c r="B24" t="s">
        <v>143</v>
      </c>
      <c r="C24" t="s">
        <v>220</v>
      </c>
      <c r="D24" t="s">
        <v>165</v>
      </c>
      <c r="E24" s="42">
        <v>7.77</v>
      </c>
      <c r="F24">
        <v>1.5374939736777509</v>
      </c>
      <c r="G24">
        <v>0.93758084612937542</v>
      </c>
      <c r="H24">
        <v>2.2164104327429792E-2</v>
      </c>
      <c r="I24">
        <v>2.919856648710567E-2</v>
      </c>
      <c r="J24">
        <v>0.69166923287370397</v>
      </c>
      <c r="K24">
        <v>0.52375221707512509</v>
      </c>
      <c r="L24">
        <v>2.5715099220720745</v>
      </c>
      <c r="M24">
        <v>3.2283955085690638E-2</v>
      </c>
      <c r="N24">
        <v>1.557845577664946</v>
      </c>
      <c r="O24">
        <v>0.25022987738055014</v>
      </c>
      <c r="P24">
        <v>0.71042427609685099</v>
      </c>
    </row>
    <row r="25" spans="1:16">
      <c r="A25" t="s">
        <v>219</v>
      </c>
      <c r="B25" t="s">
        <v>143</v>
      </c>
      <c r="C25" t="s">
        <v>220</v>
      </c>
      <c r="D25" t="s">
        <v>165</v>
      </c>
      <c r="E25" s="42">
        <v>7.4340000000000002</v>
      </c>
      <c r="F25">
        <v>1.7418370877355671</v>
      </c>
      <c r="G25">
        <v>1.219476603927236</v>
      </c>
      <c r="H25">
        <v>4.5709262283721852E-2</v>
      </c>
      <c r="I25">
        <v>2.9415658900623337E-2</v>
      </c>
      <c r="J25">
        <v>0.81105848792623314</v>
      </c>
      <c r="K25">
        <v>0.54908596581485347</v>
      </c>
      <c r="L25">
        <v>4.0819989176144267</v>
      </c>
      <c r="M25">
        <v>6.5723444373707154E-2</v>
      </c>
      <c r="N25">
        <v>1.8433025705918251</v>
      </c>
      <c r="O25">
        <v>0.374495990687777</v>
      </c>
      <c r="P25">
        <v>0.63895678924652521</v>
      </c>
    </row>
    <row r="26" spans="1:16">
      <c r="A26" t="s">
        <v>222</v>
      </c>
      <c r="B26" t="s">
        <v>143</v>
      </c>
      <c r="C26" t="s">
        <v>220</v>
      </c>
      <c r="D26" t="s">
        <v>165</v>
      </c>
      <c r="E26" s="42">
        <v>7.6319999999999997</v>
      </c>
      <c r="F26">
        <v>2.1131337564715671</v>
      </c>
      <c r="G26">
        <v>0.89203582590263142</v>
      </c>
      <c r="H26">
        <v>3.703834021965078E-2</v>
      </c>
      <c r="I26">
        <v>2.2925243543068907E-2</v>
      </c>
      <c r="J26">
        <v>0.69362062970409111</v>
      </c>
      <c r="K26">
        <v>0.47895820140884793</v>
      </c>
      <c r="L26">
        <v>2.2492598041446588</v>
      </c>
      <c r="M26">
        <v>3.0425146240104967E-2</v>
      </c>
      <c r="N26">
        <v>2.013000132220383</v>
      </c>
      <c r="O26">
        <v>0.33233693123373503</v>
      </c>
      <c r="P26">
        <v>0.29967004523823493</v>
      </c>
    </row>
    <row r="27" spans="1:16">
      <c r="A27" t="s">
        <v>280</v>
      </c>
      <c r="B27" t="s">
        <v>143</v>
      </c>
      <c r="C27" t="s">
        <v>220</v>
      </c>
      <c r="D27" t="s">
        <v>165</v>
      </c>
      <c r="E27" s="42">
        <v>7.6479999999999997</v>
      </c>
      <c r="F27">
        <v>1.4751107381480968</v>
      </c>
      <c r="G27">
        <v>1.3802735612892716</v>
      </c>
      <c r="H27">
        <v>1.8205500437866576E-2</v>
      </c>
      <c r="I27">
        <v>3.3215041734017237E-2</v>
      </c>
      <c r="J27">
        <v>0.52281527791811111</v>
      </c>
      <c r="K27">
        <v>0.480063985360003</v>
      </c>
      <c r="L27">
        <v>2.0879338271920491</v>
      </c>
      <c r="M27">
        <v>3.1785979626965763E-2</v>
      </c>
      <c r="N27">
        <v>2.8328521951129244</v>
      </c>
      <c r="O27">
        <v>0.30697276200121776</v>
      </c>
      <c r="P27">
        <v>0.82230005606507162</v>
      </c>
    </row>
    <row r="28" spans="1:16">
      <c r="A28" t="s">
        <v>283</v>
      </c>
      <c r="B28" t="s">
        <v>143</v>
      </c>
      <c r="C28" t="s">
        <v>220</v>
      </c>
      <c r="D28" t="s">
        <v>165</v>
      </c>
      <c r="E28" s="42">
        <v>7.9770000000000003</v>
      </c>
      <c r="F28">
        <v>1.3987545705526001</v>
      </c>
      <c r="G28">
        <v>1.1867375235601836</v>
      </c>
      <c r="H28">
        <v>2.8167720186626288E-2</v>
      </c>
      <c r="I28">
        <v>3.3979725542640525E-2</v>
      </c>
      <c r="J28">
        <v>0.5533040501016272</v>
      </c>
      <c r="K28">
        <v>0.35632545885876665</v>
      </c>
      <c r="L28">
        <v>1.918710600442374</v>
      </c>
      <c r="M28">
        <v>3.3889174712339189E-2</v>
      </c>
      <c r="N28">
        <v>2.3356786731877821</v>
      </c>
      <c r="O28">
        <v>0.36318520149800937</v>
      </c>
      <c r="P28">
        <v>0.59484460042512144</v>
      </c>
    </row>
    <row r="29" spans="1:16">
      <c r="A29" t="s">
        <v>286</v>
      </c>
      <c r="B29" t="s">
        <v>143</v>
      </c>
      <c r="C29" t="s">
        <v>220</v>
      </c>
      <c r="D29" t="s">
        <v>165</v>
      </c>
      <c r="E29" s="42">
        <v>7.4329999999999998</v>
      </c>
      <c r="F29">
        <v>1.4756963917525774</v>
      </c>
      <c r="G29">
        <v>1.1199231958762887</v>
      </c>
      <c r="H29">
        <v>1.9831941078182903E-2</v>
      </c>
      <c r="I29">
        <v>3.8837263382286193E-2</v>
      </c>
      <c r="J29">
        <v>0.54334827125508289</v>
      </c>
      <c r="K29">
        <v>0.41605217334276018</v>
      </c>
      <c r="L29">
        <v>1.7930008050439112</v>
      </c>
      <c r="M29">
        <v>1.7772844990383861E-2</v>
      </c>
      <c r="N29">
        <v>1.5571372774251053</v>
      </c>
      <c r="O29">
        <v>0.33215493722716893</v>
      </c>
      <c r="P29">
        <v>0.61594326870932281</v>
      </c>
    </row>
    <row r="30" spans="1:16">
      <c r="A30" t="s">
        <v>356</v>
      </c>
      <c r="B30" t="s">
        <v>143</v>
      </c>
      <c r="C30" t="s">
        <v>149</v>
      </c>
      <c r="D30" t="s">
        <v>39</v>
      </c>
      <c r="E30" s="42">
        <v>7.4770000000000003</v>
      </c>
      <c r="F30">
        <v>2.485389501411341</v>
      </c>
      <c r="G30">
        <v>0.89909949076634388</v>
      </c>
      <c r="H30">
        <v>2.2938549621008102E-2</v>
      </c>
      <c r="I30">
        <v>9.6533822104897984E-2</v>
      </c>
      <c r="J30">
        <v>0.76004120177818635</v>
      </c>
      <c r="K30">
        <v>0.50318008042581641</v>
      </c>
      <c r="L30">
        <v>2.7186801845875941</v>
      </c>
      <c r="M30">
        <v>3.2020206107276093E-2</v>
      </c>
      <c r="N30">
        <v>0.76238887482409168</v>
      </c>
      <c r="O30">
        <v>3.180562804370058E-2</v>
      </c>
      <c r="P30">
        <v>0.33297208634290304</v>
      </c>
    </row>
    <row r="31" spans="1:16">
      <c r="A31" t="s">
        <v>373</v>
      </c>
      <c r="B31" t="s">
        <v>143</v>
      </c>
      <c r="C31" t="s">
        <v>149</v>
      </c>
      <c r="D31" t="s">
        <v>39</v>
      </c>
      <c r="E31" s="42">
        <v>7.3239999999999998</v>
      </c>
      <c r="F31">
        <v>2.2171527336300061</v>
      </c>
      <c r="G31">
        <v>0.78943669966397234</v>
      </c>
      <c r="H31">
        <v>1.4741589722890738E-2</v>
      </c>
      <c r="I31">
        <v>0.10966011016535281</v>
      </c>
      <c r="J31">
        <v>0.77070682649325406</v>
      </c>
      <c r="K31">
        <v>0.2494457458735766</v>
      </c>
      <c r="L31">
        <v>2.6597508172619291</v>
      </c>
      <c r="M31">
        <v>2.6066350211731867E-2</v>
      </c>
      <c r="N31">
        <v>1.1337727216203655</v>
      </c>
      <c r="O31">
        <v>7.378915434107218E-2</v>
      </c>
      <c r="P31">
        <v>0.20706833170533653</v>
      </c>
    </row>
    <row r="32" spans="1:16">
      <c r="A32" t="s">
        <v>357</v>
      </c>
      <c r="B32" t="s">
        <v>143</v>
      </c>
      <c r="C32" t="s">
        <v>149</v>
      </c>
      <c r="D32" t="s">
        <v>39</v>
      </c>
      <c r="E32" s="42">
        <v>7.1630000000000003</v>
      </c>
      <c r="F32">
        <v>1.7098155041268819</v>
      </c>
      <c r="G32">
        <v>1.2898311485137837</v>
      </c>
      <c r="H32">
        <v>2.9842447525545393E-2</v>
      </c>
      <c r="I32">
        <v>0.11746766742217693</v>
      </c>
      <c r="J32">
        <v>1.0389286022734856</v>
      </c>
      <c r="K32">
        <v>0.4626184071014931</v>
      </c>
      <c r="L32">
        <v>2.2542361701205702</v>
      </c>
      <c r="M32">
        <v>4.9383759116538556E-2</v>
      </c>
      <c r="N32">
        <v>0.70927155890430416</v>
      </c>
      <c r="O32">
        <v>7.4984632581589314E-2</v>
      </c>
      <c r="P32">
        <v>0.34998171458910343</v>
      </c>
    </row>
    <row r="33" spans="1:16">
      <c r="A33" t="s">
        <v>374</v>
      </c>
      <c r="B33" t="s">
        <v>143</v>
      </c>
      <c r="C33" t="s">
        <v>149</v>
      </c>
      <c r="D33" t="s">
        <v>39</v>
      </c>
      <c r="E33" s="42">
        <v>7.5419999999999998</v>
      </c>
      <c r="F33">
        <v>0.82880521540315366</v>
      </c>
      <c r="G33">
        <v>0.83337023800941334</v>
      </c>
      <c r="H33">
        <v>1.9350539803119893E-2</v>
      </c>
      <c r="I33">
        <v>0.26372784697578266</v>
      </c>
      <c r="J33">
        <v>0.66194029304722002</v>
      </c>
      <c r="K33">
        <v>0.4466031187868239</v>
      </c>
      <c r="L33">
        <v>3.1268081708024877</v>
      </c>
      <c r="M33">
        <v>5.2337230977370391E-2</v>
      </c>
      <c r="N33">
        <v>1.0077645024257598</v>
      </c>
      <c r="O33">
        <v>5.7314594603605828E-2</v>
      </c>
      <c r="P33">
        <v>0.43434391360374797</v>
      </c>
    </row>
    <row r="34" spans="1:16">
      <c r="A34" t="s">
        <v>358</v>
      </c>
      <c r="B34" t="s">
        <v>143</v>
      </c>
      <c r="C34" t="s">
        <v>149</v>
      </c>
      <c r="D34" t="s">
        <v>39</v>
      </c>
      <c r="E34" s="42">
        <v>7.4160000000000004</v>
      </c>
      <c r="F34">
        <v>1.3437385541756808</v>
      </c>
      <c r="G34">
        <v>0.56505135054622524</v>
      </c>
      <c r="H34">
        <v>2.2413224922169163E-2</v>
      </c>
      <c r="I34">
        <v>0.11777941111381113</v>
      </c>
      <c r="J34">
        <v>0.8394617034772266</v>
      </c>
      <c r="K34">
        <v>0.40424887116603286</v>
      </c>
      <c r="L34">
        <v>1.9930845084660407</v>
      </c>
      <c r="M34">
        <v>3.4341894297050153E-2</v>
      </c>
      <c r="N34">
        <v>1.1190926283861853</v>
      </c>
      <c r="O34">
        <v>7.2033438848178907E-2</v>
      </c>
      <c r="P34">
        <v>0.17038526535488246</v>
      </c>
    </row>
    <row r="35" spans="1:16">
      <c r="A35" t="s">
        <v>375</v>
      </c>
      <c r="B35" t="s">
        <v>143</v>
      </c>
      <c r="C35" t="s">
        <v>149</v>
      </c>
      <c r="D35" t="s">
        <v>39</v>
      </c>
      <c r="E35" s="42">
        <v>7.6029999999999998</v>
      </c>
      <c r="F35">
        <v>1.2987755699797583</v>
      </c>
      <c r="G35">
        <v>0.92934834798709132</v>
      </c>
      <c r="H35">
        <v>2.5570716718064226E-2</v>
      </c>
      <c r="I35">
        <v>0.17567704629091815</v>
      </c>
      <c r="J35">
        <v>0.75025554158995433</v>
      </c>
      <c r="K35">
        <v>0.42451362533685183</v>
      </c>
      <c r="L35">
        <v>2.0758718865629526</v>
      </c>
      <c r="M35">
        <v>4.2413871451317912E-2</v>
      </c>
      <c r="N35">
        <v>0.69829146076405146</v>
      </c>
      <c r="O35">
        <v>6.9634693720850085E-2</v>
      </c>
      <c r="P35">
        <v>0.4905466435731527</v>
      </c>
    </row>
    <row r="36" spans="1:16">
      <c r="A36" t="s">
        <v>376</v>
      </c>
      <c r="B36" t="s">
        <v>143</v>
      </c>
      <c r="C36" t="s">
        <v>149</v>
      </c>
      <c r="D36" t="s">
        <v>39</v>
      </c>
      <c r="E36" s="42">
        <v>7.0030000000000001</v>
      </c>
      <c r="F36">
        <v>2.248669789440175</v>
      </c>
      <c r="G36">
        <v>1.1136113511301107</v>
      </c>
      <c r="H36">
        <v>5.555307179405039E-2</v>
      </c>
      <c r="I36">
        <v>0.16878084364156429</v>
      </c>
      <c r="J36">
        <v>1.0944524876962916</v>
      </c>
      <c r="K36">
        <v>0.397220361582383</v>
      </c>
      <c r="L36">
        <v>2.9806675269847362</v>
      </c>
      <c r="M36">
        <v>8.006081594321876E-2</v>
      </c>
      <c r="N36">
        <v>0.91482118989176697</v>
      </c>
      <c r="O36">
        <v>0.17068807862836693</v>
      </c>
      <c r="P36">
        <v>0.5521249911313667</v>
      </c>
    </row>
    <row r="37" spans="1:16">
      <c r="A37" t="s">
        <v>298</v>
      </c>
      <c r="B37" t="s">
        <v>143</v>
      </c>
      <c r="C37" t="s">
        <v>149</v>
      </c>
      <c r="D37" t="s">
        <v>165</v>
      </c>
      <c r="E37" s="42">
        <v>7.4960000000000004</v>
      </c>
      <c r="F37">
        <v>2.0529111677695036</v>
      </c>
      <c r="G37">
        <v>0.7091011589519951</v>
      </c>
      <c r="H37">
        <v>1.6184827458517296E-2</v>
      </c>
      <c r="I37">
        <v>6.9300981126104957E-2</v>
      </c>
      <c r="J37">
        <v>1.0309609741563033</v>
      </c>
      <c r="K37">
        <v>0.65894164953064494</v>
      </c>
      <c r="L37">
        <v>2.7984494984598922</v>
      </c>
      <c r="M37">
        <v>3.6781096128874306E-2</v>
      </c>
      <c r="N37">
        <v>1.0909396274600782</v>
      </c>
      <c r="O37">
        <v>0.81519082803882403</v>
      </c>
      <c r="P37">
        <v>0.30384317016780826</v>
      </c>
    </row>
    <row r="38" spans="1:16">
      <c r="A38" t="s">
        <v>301</v>
      </c>
      <c r="B38" t="s">
        <v>143</v>
      </c>
      <c r="C38" t="s">
        <v>149</v>
      </c>
      <c r="D38" t="s">
        <v>165</v>
      </c>
      <c r="E38" s="42">
        <v>7.5339999999999998</v>
      </c>
      <c r="F38">
        <v>1.9029452806898808</v>
      </c>
      <c r="G38">
        <v>0.864605677451729</v>
      </c>
      <c r="H38">
        <v>2.0371974188994339E-2</v>
      </c>
      <c r="I38">
        <v>0.18520405692938519</v>
      </c>
      <c r="J38">
        <v>0.68614338481128934</v>
      </c>
      <c r="K38">
        <v>0.46631183752095656</v>
      </c>
      <c r="L38">
        <v>2.3246280203082819</v>
      </c>
      <c r="M38">
        <v>6.2008072594356971E-2</v>
      </c>
      <c r="N38">
        <v>1.0112912192308317</v>
      </c>
      <c r="O38">
        <v>0.57148540691829663</v>
      </c>
      <c r="P38">
        <v>0.35736886007229579</v>
      </c>
    </row>
    <row r="39" spans="1:16">
      <c r="A39" t="s">
        <v>303</v>
      </c>
      <c r="B39" t="s">
        <v>143</v>
      </c>
      <c r="C39" t="s">
        <v>149</v>
      </c>
      <c r="D39" t="s">
        <v>165</v>
      </c>
      <c r="E39" s="42">
        <v>7.68</v>
      </c>
      <c r="F39">
        <v>1.6108359371716008</v>
      </c>
      <c r="G39">
        <v>0.91888156389095166</v>
      </c>
      <c r="H39">
        <v>1.7623804867435523E-2</v>
      </c>
      <c r="I39">
        <v>0.10281875498556275</v>
      </c>
      <c r="J39">
        <v>0.81111092218599101</v>
      </c>
      <c r="K39">
        <v>0.59759718202391432</v>
      </c>
      <c r="L39">
        <v>2.3421295331924403</v>
      </c>
      <c r="M39">
        <v>3.3181819027274656E-2</v>
      </c>
      <c r="N39">
        <v>0.78154122346626997</v>
      </c>
      <c r="O39">
        <v>0.74929298898694729</v>
      </c>
      <c r="P39">
        <v>0.25270952107069306</v>
      </c>
    </row>
    <row r="40" spans="1:16">
      <c r="A40" t="s">
        <v>306</v>
      </c>
      <c r="B40" t="s">
        <v>143</v>
      </c>
      <c r="C40" t="s">
        <v>149</v>
      </c>
      <c r="D40" t="s">
        <v>165</v>
      </c>
      <c r="E40" s="42">
        <v>7.3109999999999999</v>
      </c>
      <c r="F40">
        <v>1.3607218004338395</v>
      </c>
      <c r="G40">
        <v>0.86661979392624733</v>
      </c>
      <c r="H40">
        <v>1.5456780377403641E-2</v>
      </c>
      <c r="I40">
        <v>5.5371345779504477E-2</v>
      </c>
      <c r="J40">
        <v>0.66529878284418464</v>
      </c>
      <c r="K40">
        <v>0.3991236118515788</v>
      </c>
      <c r="L40">
        <v>1.5410774366365498</v>
      </c>
      <c r="M40">
        <v>2.754952894337747E-2</v>
      </c>
      <c r="N40">
        <v>0.75428193584521741</v>
      </c>
      <c r="O40">
        <v>0.80108573905394798</v>
      </c>
      <c r="P40">
        <v>0.26489145221706883</v>
      </c>
    </row>
    <row r="41" spans="1:16">
      <c r="A41" t="s">
        <v>309</v>
      </c>
      <c r="B41" t="s">
        <v>143</v>
      </c>
      <c r="C41" t="s">
        <v>149</v>
      </c>
      <c r="D41" t="s">
        <v>165</v>
      </c>
      <c r="E41" s="57"/>
    </row>
    <row r="42" spans="1:16">
      <c r="A42" t="s">
        <v>312</v>
      </c>
      <c r="B42" t="s">
        <v>143</v>
      </c>
      <c r="C42" t="s">
        <v>149</v>
      </c>
      <c r="D42" t="s">
        <v>165</v>
      </c>
      <c r="E42" s="42">
        <v>7.3239999999999998</v>
      </c>
      <c r="F42">
        <v>2.1880795107033637</v>
      </c>
      <c r="G42">
        <v>0.56924413863404677</v>
      </c>
      <c r="H42">
        <v>3.3455647814767363E-2</v>
      </c>
      <c r="I42">
        <v>9.8243712687676496E-2</v>
      </c>
      <c r="J42">
        <v>0.5784412412644323</v>
      </c>
      <c r="K42">
        <v>0.42335064286552837</v>
      </c>
      <c r="L42">
        <v>1.8820141962418531</v>
      </c>
      <c r="M42">
        <v>4.6853952576348057E-2</v>
      </c>
      <c r="N42">
        <v>0.75892713628326769</v>
      </c>
      <c r="O42">
        <v>0.67608747607643549</v>
      </c>
      <c r="P42">
        <v>0.40664712002534581</v>
      </c>
    </row>
    <row r="43" spans="1:16">
      <c r="A43" t="s">
        <v>225</v>
      </c>
      <c r="B43" t="s">
        <v>143</v>
      </c>
      <c r="C43" t="s">
        <v>149</v>
      </c>
      <c r="D43" t="s">
        <v>165</v>
      </c>
      <c r="E43" s="42">
        <v>7.3659999999999997</v>
      </c>
      <c r="F43">
        <v>1.9179955846622516</v>
      </c>
      <c r="G43">
        <v>0.83207533207533213</v>
      </c>
      <c r="H43">
        <v>3.8753449594187708E-2</v>
      </c>
      <c r="I43">
        <v>2.3240459032657833E-2</v>
      </c>
      <c r="J43">
        <v>0.6884782283028652</v>
      </c>
      <c r="K43">
        <v>0.40518363676712571</v>
      </c>
      <c r="L43">
        <v>2.2455556673684844</v>
      </c>
      <c r="M43">
        <v>2.8648160308170193E-2</v>
      </c>
      <c r="N43">
        <v>1.5284616237970472</v>
      </c>
      <c r="O43">
        <v>0.12867975357269315</v>
      </c>
      <c r="P43">
        <v>0.21511102804915813</v>
      </c>
    </row>
    <row r="44" spans="1:16">
      <c r="A44" t="s">
        <v>345</v>
      </c>
      <c r="B44" t="s">
        <v>37</v>
      </c>
      <c r="C44" t="s">
        <v>91</v>
      </c>
      <c r="D44" t="s">
        <v>39</v>
      </c>
      <c r="E44" s="42">
        <v>7.8710000000000004</v>
      </c>
      <c r="F44">
        <v>1.2236286315441003</v>
      </c>
      <c r="G44">
        <v>1.6142311010100043</v>
      </c>
      <c r="H44">
        <v>3.5272934406627432E-2</v>
      </c>
      <c r="I44">
        <v>1.6034096584571684E-2</v>
      </c>
      <c r="J44">
        <v>0.79559834532002471</v>
      </c>
      <c r="K44">
        <v>0.39282894163405052</v>
      </c>
      <c r="L44">
        <v>3.6875959485811736</v>
      </c>
      <c r="M44">
        <v>7.3735197195158378E-2</v>
      </c>
      <c r="N44">
        <v>3.6644554211488747</v>
      </c>
      <c r="O44">
        <v>0.15866001416327455</v>
      </c>
      <c r="P44">
        <v>0.20872299824504206</v>
      </c>
    </row>
    <row r="45" spans="1:16">
      <c r="A45" t="s">
        <v>346</v>
      </c>
      <c r="B45" t="s">
        <v>37</v>
      </c>
      <c r="C45" t="s">
        <v>91</v>
      </c>
      <c r="D45" t="s">
        <v>39</v>
      </c>
      <c r="E45" s="42">
        <v>6.6020000000000003</v>
      </c>
      <c r="F45">
        <v>0.816705049537087</v>
      </c>
      <c r="G45">
        <v>1.4454628355925128</v>
      </c>
      <c r="H45">
        <v>3.2867151301719341E-2</v>
      </c>
      <c r="I45">
        <v>1.3044111501827414E-2</v>
      </c>
      <c r="J45">
        <v>0.78764423094049663</v>
      </c>
      <c r="K45">
        <v>0.17580938809278843</v>
      </c>
      <c r="L45">
        <v>3.2331746079665464</v>
      </c>
      <c r="M45">
        <v>7.0861995605124017E-2</v>
      </c>
      <c r="N45">
        <v>1.6678750984205133</v>
      </c>
      <c r="O45">
        <v>6.5019623747298083E-2</v>
      </c>
      <c r="P45">
        <v>0.2499131394585041</v>
      </c>
    </row>
    <row r="46" spans="1:16">
      <c r="A46" t="s">
        <v>347</v>
      </c>
      <c r="B46" t="s">
        <v>37</v>
      </c>
      <c r="C46" t="s">
        <v>91</v>
      </c>
      <c r="D46" t="s">
        <v>39</v>
      </c>
      <c r="E46" s="42">
        <v>6.9050000000000002</v>
      </c>
      <c r="F46">
        <v>1.1701433594757307</v>
      </c>
      <c r="G46">
        <v>1.5987957548901957</v>
      </c>
      <c r="H46">
        <v>2.8263338883609702E-2</v>
      </c>
      <c r="I46">
        <v>1.6779255841803987E-2</v>
      </c>
      <c r="J46">
        <v>0.89424645971132</v>
      </c>
      <c r="K46">
        <v>0.28222704423833295</v>
      </c>
      <c r="L46">
        <v>2.3945277502673137</v>
      </c>
      <c r="M46">
        <v>6.6332326470744871E-2</v>
      </c>
      <c r="N46">
        <v>3.5195347634017744</v>
      </c>
      <c r="O46">
        <v>0.13802172631610499</v>
      </c>
      <c r="P46">
        <v>0.38473934964662709</v>
      </c>
    </row>
    <row r="47" spans="1:16">
      <c r="A47" t="s">
        <v>348</v>
      </c>
      <c r="B47" t="s">
        <v>37</v>
      </c>
      <c r="C47" t="s">
        <v>91</v>
      </c>
      <c r="D47" t="s">
        <v>39</v>
      </c>
      <c r="E47" s="42">
        <v>7.774</v>
      </c>
      <c r="F47">
        <v>1.1031333738678879</v>
      </c>
      <c r="G47">
        <v>1.3973409596390709</v>
      </c>
      <c r="H47">
        <v>3.1133774170643849E-2</v>
      </c>
      <c r="I47">
        <v>1.2782872761216783E-2</v>
      </c>
      <c r="J47">
        <v>1.1287372527373427</v>
      </c>
      <c r="K47">
        <v>0.1773124817109526</v>
      </c>
      <c r="L47">
        <v>1.8327665034772245</v>
      </c>
      <c r="M47">
        <v>6.6074502853578784E-2</v>
      </c>
      <c r="N47">
        <v>0.99230117449997912</v>
      </c>
      <c r="O47">
        <v>0.14539134337420881</v>
      </c>
      <c r="P47">
        <v>0.10765429795436886</v>
      </c>
    </row>
    <row r="48" spans="1:16">
      <c r="A48" t="s">
        <v>349</v>
      </c>
      <c r="B48" t="s">
        <v>37</v>
      </c>
      <c r="C48" t="s">
        <v>91</v>
      </c>
      <c r="D48" t="s">
        <v>39</v>
      </c>
      <c r="E48" s="42">
        <v>7.1929999999999996</v>
      </c>
      <c r="F48">
        <v>1.1585939144467572</v>
      </c>
      <c r="G48">
        <v>2.2477789768759671</v>
      </c>
      <c r="H48">
        <v>1.4552080280519823E-2</v>
      </c>
      <c r="I48">
        <v>2.3692734121852099E-3</v>
      </c>
      <c r="J48">
        <v>0.86831148796962387</v>
      </c>
      <c r="K48">
        <v>0.33067479974631897</v>
      </c>
      <c r="L48">
        <v>2.9633978664161007</v>
      </c>
      <c r="M48">
        <v>5.1580081658402416E-2</v>
      </c>
      <c r="N48">
        <v>1.2381126426138631</v>
      </c>
      <c r="O48">
        <v>0.17869215296176902</v>
      </c>
      <c r="P48">
        <v>0.17950615025063843</v>
      </c>
    </row>
    <row r="49" spans="1:16">
      <c r="A49" t="s">
        <v>350</v>
      </c>
      <c r="B49" t="s">
        <v>37</v>
      </c>
      <c r="C49" t="s">
        <v>91</v>
      </c>
      <c r="D49" t="s">
        <v>39</v>
      </c>
      <c r="E49" s="42">
        <v>6.8449999999999998</v>
      </c>
      <c r="F49">
        <v>0.56157692307692297</v>
      </c>
      <c r="G49">
        <v>0.9741814479638008</v>
      </c>
      <c r="H49">
        <v>8.4048366284234198E-3</v>
      </c>
      <c r="I49">
        <v>3.7345093920483018E-3</v>
      </c>
      <c r="J49">
        <v>0.37702410013950866</v>
      </c>
      <c r="K49">
        <v>0.14072637097768786</v>
      </c>
      <c r="L49">
        <v>2.074430972465477</v>
      </c>
      <c r="M49">
        <v>2.7372379958271083E-2</v>
      </c>
      <c r="N49">
        <v>1.0660810693999161</v>
      </c>
      <c r="O49">
        <v>4.649655195927576E-2</v>
      </c>
      <c r="P49">
        <v>5.8459896722551641E-2</v>
      </c>
    </row>
    <row r="50" spans="1:16">
      <c r="A50" t="s">
        <v>351</v>
      </c>
      <c r="B50" t="s">
        <v>37</v>
      </c>
      <c r="C50" t="s">
        <v>91</v>
      </c>
      <c r="D50" t="s">
        <v>39</v>
      </c>
      <c r="E50" s="42">
        <v>7.3879999999999999</v>
      </c>
      <c r="F50">
        <v>1.2942217695982154</v>
      </c>
      <c r="G50">
        <v>1.1347930457554374</v>
      </c>
      <c r="H50">
        <v>1.2618243740360443E-2</v>
      </c>
      <c r="I50">
        <v>1.4387480415504232E-3</v>
      </c>
      <c r="J50">
        <v>0.60644183134899132</v>
      </c>
      <c r="K50">
        <v>0.20665255002183688</v>
      </c>
      <c r="L50">
        <v>3.7967810779988298</v>
      </c>
      <c r="M50">
        <v>3.0166677314879545E-2</v>
      </c>
      <c r="N50">
        <v>2.2149780284606035</v>
      </c>
      <c r="O50">
        <v>2.3700775033183481E-2</v>
      </c>
      <c r="P50">
        <v>0.15547990505646928</v>
      </c>
    </row>
    <row r="51" spans="1:16">
      <c r="A51" t="s">
        <v>352</v>
      </c>
      <c r="B51" t="s">
        <v>37</v>
      </c>
      <c r="C51" t="s">
        <v>91</v>
      </c>
      <c r="D51" t="s">
        <v>39</v>
      </c>
      <c r="E51" s="42">
        <v>7.2830000000000004</v>
      </c>
      <c r="F51">
        <v>0.95007027642058783</v>
      </c>
      <c r="G51">
        <v>1.5337735835025175</v>
      </c>
      <c r="H51">
        <v>1.4947631034529439E-2</v>
      </c>
      <c r="I51">
        <v>1.5217997001438679E-3</v>
      </c>
      <c r="J51">
        <v>0.60862179923315651</v>
      </c>
      <c r="K51">
        <v>0.35233190601204012</v>
      </c>
      <c r="L51">
        <v>3.2208844027127483</v>
      </c>
      <c r="M51">
        <v>3.1401585054788614E-2</v>
      </c>
      <c r="N51">
        <v>3.5252286967760456</v>
      </c>
      <c r="O51">
        <v>6.939107549078645E-2</v>
      </c>
      <c r="P51">
        <v>0.22161837507451643</v>
      </c>
    </row>
    <row r="52" spans="1:16">
      <c r="A52" t="s">
        <v>353</v>
      </c>
      <c r="B52" t="s">
        <v>37</v>
      </c>
      <c r="C52" t="s">
        <v>91</v>
      </c>
      <c r="D52" t="s">
        <v>39</v>
      </c>
      <c r="E52" s="42">
        <v>7.444</v>
      </c>
      <c r="F52">
        <v>1.2509925313878725</v>
      </c>
      <c r="G52">
        <v>2.1951495811965303</v>
      </c>
      <c r="H52">
        <v>1.216546010048241E-2</v>
      </c>
      <c r="I52">
        <v>4.9107027718935312E-3</v>
      </c>
      <c r="J52">
        <v>0.71673948310911262</v>
      </c>
      <c r="K52">
        <v>0.30767597811531133</v>
      </c>
      <c r="L52">
        <v>4.0897933555202393</v>
      </c>
      <c r="M52">
        <v>5.23847851118657E-2</v>
      </c>
      <c r="N52">
        <v>2.5194412739872218</v>
      </c>
      <c r="O52">
        <v>8.0424646701871549E-2</v>
      </c>
      <c r="P52">
        <v>0.21742334946183003</v>
      </c>
    </row>
    <row r="53" spans="1:16">
      <c r="A53" t="s">
        <v>132</v>
      </c>
      <c r="B53" t="s">
        <v>37</v>
      </c>
      <c r="C53" t="s">
        <v>91</v>
      </c>
      <c r="D53" t="s">
        <v>39</v>
      </c>
      <c r="E53" s="42">
        <v>7.3479999999999999</v>
      </c>
      <c r="F53">
        <v>1.1434878022953081</v>
      </c>
      <c r="G53">
        <v>1.2479463576070273</v>
      </c>
      <c r="H53">
        <v>1.1958763542336612E-2</v>
      </c>
      <c r="I53">
        <v>1.9030816405646396E-3</v>
      </c>
      <c r="J53">
        <v>0.82268611585129636</v>
      </c>
      <c r="K53">
        <v>0.15818641997482058</v>
      </c>
      <c r="L53">
        <v>2.7299835583238998</v>
      </c>
      <c r="M53">
        <v>5.078403078651212E-2</v>
      </c>
      <c r="N53">
        <v>1.2005017642122968</v>
      </c>
      <c r="O53">
        <v>6.1328806026007349E-2</v>
      </c>
      <c r="P53">
        <v>0.14782540996709501</v>
      </c>
    </row>
    <row r="54" spans="1:16">
      <c r="A54" t="s">
        <v>135</v>
      </c>
      <c r="B54" t="s">
        <v>37</v>
      </c>
      <c r="C54" t="s">
        <v>91</v>
      </c>
      <c r="D54" t="s">
        <v>39</v>
      </c>
      <c r="E54" s="42">
        <v>7.5709999999999997</v>
      </c>
      <c r="F54">
        <v>1.0660648589896744</v>
      </c>
      <c r="G54">
        <v>1.9559532127714456</v>
      </c>
      <c r="H54">
        <v>1.2925385456216125E-2</v>
      </c>
      <c r="I54">
        <v>1.667844275955468E-3</v>
      </c>
      <c r="J54">
        <v>1.0088770654478134</v>
      </c>
      <c r="K54">
        <v>0.27202322889115249</v>
      </c>
      <c r="L54">
        <v>2.8797492054648179</v>
      </c>
      <c r="M54">
        <v>5.0512440034747266E-2</v>
      </c>
      <c r="N54">
        <v>2.5307318311917726</v>
      </c>
      <c r="O54">
        <v>0.10633252112461822</v>
      </c>
      <c r="P54">
        <v>0.17026042224242005</v>
      </c>
    </row>
    <row r="55" spans="1:16">
      <c r="A55" t="s">
        <v>103</v>
      </c>
      <c r="B55" t="s">
        <v>37</v>
      </c>
      <c r="C55" t="s">
        <v>91</v>
      </c>
      <c r="D55" t="s">
        <v>39</v>
      </c>
      <c r="E55" s="42">
        <v>6.9320000000000004</v>
      </c>
      <c r="F55">
        <v>0.94889935414424109</v>
      </c>
      <c r="G55">
        <v>1.3145398277717975</v>
      </c>
      <c r="H55">
        <v>2.3307681875672767E-2</v>
      </c>
      <c r="I55">
        <v>1.9444095838976338E-3</v>
      </c>
      <c r="J55">
        <v>0.60078916231911861</v>
      </c>
      <c r="K55">
        <v>0.16829215579404386</v>
      </c>
      <c r="L55">
        <v>1.6313239443217586</v>
      </c>
      <c r="M55">
        <v>4.5962989016050448E-2</v>
      </c>
      <c r="N55">
        <v>1.0391267454030031</v>
      </c>
      <c r="O55">
        <v>5.2370848121636164E-2</v>
      </c>
      <c r="P55">
        <v>8.9597395947355746E-2</v>
      </c>
    </row>
    <row r="56" spans="1:16">
      <c r="A56" t="s">
        <v>106</v>
      </c>
      <c r="B56" t="s">
        <v>37</v>
      </c>
      <c r="C56" t="s">
        <v>91</v>
      </c>
      <c r="D56" t="s">
        <v>39</v>
      </c>
      <c r="E56" s="42">
        <v>7.3840000000000003</v>
      </c>
      <c r="F56">
        <v>0.70481015649810563</v>
      </c>
      <c r="G56">
        <v>0.89155139179178877</v>
      </c>
      <c r="H56">
        <v>2.7191637174023821E-2</v>
      </c>
      <c r="I56">
        <v>2.2582226125657601E-3</v>
      </c>
      <c r="J56">
        <v>0.5464033756611516</v>
      </c>
      <c r="K56">
        <v>0.1390871666751777</v>
      </c>
      <c r="L56">
        <v>2.0881188528967294</v>
      </c>
      <c r="M56">
        <v>5.4339098416237075E-2</v>
      </c>
      <c r="N56">
        <v>0.9929050268098697</v>
      </c>
      <c r="O56">
        <v>3.6587298783852633E-2</v>
      </c>
      <c r="P56">
        <v>6.4041512854302346E-2</v>
      </c>
    </row>
    <row r="57" spans="1:16">
      <c r="A57" t="s">
        <v>109</v>
      </c>
      <c r="B57" t="s">
        <v>37</v>
      </c>
      <c r="C57" t="s">
        <v>91</v>
      </c>
      <c r="D57" t="s">
        <v>39</v>
      </c>
      <c r="E57" s="42">
        <v>7.3150000000000004</v>
      </c>
      <c r="F57">
        <v>1.1199343187660666</v>
      </c>
      <c r="G57">
        <v>1.0296059768637531</v>
      </c>
      <c r="H57">
        <v>2.284245677827763E-2</v>
      </c>
      <c r="I57">
        <v>2.2885779707463314E-3</v>
      </c>
      <c r="J57">
        <v>0.69122792368251917</v>
      </c>
      <c r="K57">
        <v>0.13894618155763946</v>
      </c>
      <c r="L57">
        <v>1.7559565785671087</v>
      </c>
      <c r="M57">
        <v>4.0160862672076018E-2</v>
      </c>
      <c r="N57">
        <v>0.85637751743613144</v>
      </c>
      <c r="O57">
        <v>2.3652718779529548E-2</v>
      </c>
      <c r="P57">
        <v>0.19543396548460171</v>
      </c>
    </row>
    <row r="58" spans="1:16">
      <c r="A58" t="s">
        <v>112</v>
      </c>
      <c r="B58" t="s">
        <v>37</v>
      </c>
      <c r="C58" t="s">
        <v>91</v>
      </c>
      <c r="D58" t="s">
        <v>39</v>
      </c>
      <c r="E58" s="42">
        <v>6.8949999999999996</v>
      </c>
      <c r="F58">
        <v>0.61336259541984739</v>
      </c>
      <c r="G58">
        <v>1.0057473282442748</v>
      </c>
      <c r="H58">
        <v>3.1307292290076338E-2</v>
      </c>
      <c r="I58">
        <v>5.2225417041984737E-3</v>
      </c>
      <c r="J58">
        <v>0.58616307557251912</v>
      </c>
      <c r="K58">
        <v>0.11180587624917132</v>
      </c>
      <c r="L58">
        <v>1.8631616613501532</v>
      </c>
      <c r="M58">
        <v>4.260123167157473E-2</v>
      </c>
      <c r="N58">
        <v>0.79897398497269545</v>
      </c>
      <c r="O58">
        <v>0.10968013954222589</v>
      </c>
      <c r="P58">
        <v>6.2801688251057683E-2</v>
      </c>
    </row>
    <row r="59" spans="1:16">
      <c r="A59" t="s">
        <v>115</v>
      </c>
      <c r="B59" t="s">
        <v>37</v>
      </c>
      <c r="C59" t="s">
        <v>91</v>
      </c>
      <c r="D59" t="s">
        <v>39</v>
      </c>
      <c r="E59" s="42">
        <v>6.8390000000000004</v>
      </c>
      <c r="F59">
        <v>0.81218481668256781</v>
      </c>
      <c r="G59">
        <v>1.0098317724254755</v>
      </c>
      <c r="H59">
        <v>2.2265265581494966E-2</v>
      </c>
      <c r="I59">
        <v>4.6490802842664098E-3</v>
      </c>
      <c r="J59">
        <v>0.71216795843961134</v>
      </c>
      <c r="K59">
        <v>0.1168372422078833</v>
      </c>
      <c r="L59">
        <v>2.4182454471886725</v>
      </c>
      <c r="M59">
        <v>4.406351677408659E-2</v>
      </c>
      <c r="N59">
        <v>0.65665519227701419</v>
      </c>
      <c r="O59">
        <v>3.2311352208769524E-2</v>
      </c>
      <c r="P59">
        <v>8.9905996363044124E-2</v>
      </c>
    </row>
    <row r="60" spans="1:16">
      <c r="A60" t="s">
        <v>137</v>
      </c>
      <c r="B60" t="s">
        <v>37</v>
      </c>
      <c r="C60" t="s">
        <v>91</v>
      </c>
      <c r="D60" t="s">
        <v>39</v>
      </c>
      <c r="E60" s="42">
        <v>6.9749999999999996</v>
      </c>
      <c r="F60">
        <v>0.93074776714206986</v>
      </c>
      <c r="G60">
        <v>0.89365237253168284</v>
      </c>
      <c r="H60">
        <v>1.2899520944846128E-2</v>
      </c>
      <c r="I60">
        <v>1.5924766545220082E-3</v>
      </c>
      <c r="J60">
        <v>0.8736596716570959</v>
      </c>
      <c r="K60">
        <v>0.10615980870616049</v>
      </c>
      <c r="L60">
        <v>2.2946282947106846</v>
      </c>
      <c r="M60">
        <v>4.5540141621836734E-2</v>
      </c>
      <c r="N60">
        <v>2.5740659272134221</v>
      </c>
      <c r="O60">
        <v>0.10288630263657769</v>
      </c>
      <c r="P60">
        <v>0.10170594878499745</v>
      </c>
    </row>
    <row r="61" spans="1:16">
      <c r="A61" t="s">
        <v>140</v>
      </c>
      <c r="B61" t="s">
        <v>37</v>
      </c>
      <c r="C61" t="s">
        <v>91</v>
      </c>
      <c r="D61" t="s">
        <v>39</v>
      </c>
      <c r="E61" s="42">
        <v>7.51</v>
      </c>
      <c r="F61">
        <v>1.0113107119095142</v>
      </c>
      <c r="G61">
        <v>1.3556220891550232</v>
      </c>
      <c r="H61">
        <v>1.5241504502472553E-2</v>
      </c>
      <c r="I61">
        <v>2.3734981768477816E-3</v>
      </c>
      <c r="J61">
        <v>0.7336018063513251</v>
      </c>
      <c r="K61">
        <v>0.24396827022009812</v>
      </c>
      <c r="L61">
        <v>2.4035522327138663</v>
      </c>
      <c r="M61">
        <v>5.3645265406236355E-2</v>
      </c>
      <c r="N61">
        <v>3.0178629422318748</v>
      </c>
      <c r="O61">
        <v>0.16665778298050177</v>
      </c>
      <c r="P61">
        <v>9.5147447975358165E-2</v>
      </c>
    </row>
    <row r="62" spans="1:16">
      <c r="A62" t="s">
        <v>36</v>
      </c>
      <c r="B62" t="s">
        <v>37</v>
      </c>
      <c r="C62" t="s">
        <v>38</v>
      </c>
      <c r="D62" t="s">
        <v>39</v>
      </c>
      <c r="E62" s="42">
        <v>6.6909999999999998</v>
      </c>
      <c r="F62">
        <v>0.94727294854263699</v>
      </c>
      <c r="G62">
        <v>1.1361441522936324</v>
      </c>
      <c r="H62">
        <v>3.0310406131379967E-2</v>
      </c>
      <c r="I62">
        <v>1.9390467123593668E-2</v>
      </c>
      <c r="J62">
        <v>0.64647780790565934</v>
      </c>
      <c r="K62">
        <v>0.13325259579325194</v>
      </c>
      <c r="L62">
        <v>1.4397107046196311</v>
      </c>
      <c r="M62">
        <v>7.6831740473564863E-2</v>
      </c>
      <c r="N62">
        <v>2.5549962035205822</v>
      </c>
      <c r="O62">
        <v>0.10292308958358709</v>
      </c>
      <c r="P62">
        <v>0.13108602158842952</v>
      </c>
    </row>
    <row r="63" spans="1:16">
      <c r="A63" t="s">
        <v>42</v>
      </c>
      <c r="B63" t="s">
        <v>37</v>
      </c>
      <c r="C63" t="s">
        <v>38</v>
      </c>
      <c r="D63" t="s">
        <v>39</v>
      </c>
      <c r="E63" s="42">
        <v>7.0490000000000004</v>
      </c>
      <c r="F63">
        <v>1.7493763831068081</v>
      </c>
      <c r="G63">
        <v>1.200671522201779</v>
      </c>
      <c r="H63">
        <v>1.8893238117131443E-2</v>
      </c>
      <c r="I63">
        <v>1.5348737065091531E-2</v>
      </c>
      <c r="J63">
        <v>0.6987776860945677</v>
      </c>
      <c r="K63">
        <v>0.16111549790641241</v>
      </c>
      <c r="L63">
        <v>2.6121832354579051</v>
      </c>
      <c r="M63">
        <v>4.6633182377729815E-2</v>
      </c>
      <c r="N63">
        <v>2.3211914867257755</v>
      </c>
      <c r="O63">
        <v>0.11896402571698581</v>
      </c>
      <c r="P63">
        <v>0.16094070843248545</v>
      </c>
    </row>
    <row r="64" spans="1:16">
      <c r="A64" t="s">
        <v>45</v>
      </c>
      <c r="B64" t="s">
        <v>37</v>
      </c>
      <c r="C64" t="s">
        <v>38</v>
      </c>
      <c r="D64" t="s">
        <v>39</v>
      </c>
      <c r="E64" s="42">
        <v>6.5250000000000004</v>
      </c>
      <c r="F64">
        <v>1.2299097351286155</v>
      </c>
      <c r="G64">
        <v>0.83285761499864774</v>
      </c>
      <c r="H64">
        <v>2.7501273377572813E-2</v>
      </c>
      <c r="I64">
        <v>1.5815686232285988E-2</v>
      </c>
      <c r="J64">
        <v>0.68039253404512035</v>
      </c>
      <c r="K64">
        <v>9.9197279759334345E-2</v>
      </c>
      <c r="L64">
        <v>0.97072914668577259</v>
      </c>
      <c r="M64">
        <v>4.9409876037855703E-2</v>
      </c>
      <c r="N64">
        <v>1.699439327843894</v>
      </c>
      <c r="O64">
        <v>1.2738794937039628E-2</v>
      </c>
      <c r="P64">
        <v>8.8100802462372049E-2</v>
      </c>
    </row>
    <row r="65" spans="1:16">
      <c r="A65" t="s">
        <v>48</v>
      </c>
      <c r="B65" t="s">
        <v>37</v>
      </c>
      <c r="C65" t="s">
        <v>38</v>
      </c>
      <c r="D65" t="s">
        <v>39</v>
      </c>
      <c r="E65" s="42">
        <v>6.5220000000000002</v>
      </c>
      <c r="F65">
        <v>0.5052100148009061</v>
      </c>
      <c r="G65">
        <v>0.6245678279071325</v>
      </c>
      <c r="H65">
        <v>2.1780331914569902E-2</v>
      </c>
      <c r="I65">
        <v>2.1278165782864792E-2</v>
      </c>
      <c r="J65">
        <v>0.64582170160537222</v>
      </c>
      <c r="K65">
        <v>0.24372366313517896</v>
      </c>
      <c r="L65">
        <v>1.9821018443227141</v>
      </c>
      <c r="M65">
        <v>4.6858270049274217E-2</v>
      </c>
      <c r="N65">
        <v>1.2996304564608185</v>
      </c>
      <c r="O65">
        <v>6.7695480029737534E-2</v>
      </c>
      <c r="P65">
        <v>8.9060837049819777E-2</v>
      </c>
    </row>
    <row r="66" spans="1:16">
      <c r="A66" t="s">
        <v>51</v>
      </c>
      <c r="B66" t="s">
        <v>37</v>
      </c>
      <c r="C66" t="s">
        <v>38</v>
      </c>
      <c r="D66" t="s">
        <v>39</v>
      </c>
      <c r="E66" s="42">
        <v>6.4420000000000002</v>
      </c>
      <c r="F66">
        <v>0.42147481740870446</v>
      </c>
      <c r="G66">
        <v>0.93340046023011525</v>
      </c>
      <c r="H66">
        <v>1.8506758088625893E-2</v>
      </c>
      <c r="I66">
        <v>2.3817174933910168E-2</v>
      </c>
      <c r="J66">
        <v>0.88018116089656051</v>
      </c>
      <c r="K66">
        <v>0.16089004266670345</v>
      </c>
      <c r="L66">
        <v>1.1034164048392796</v>
      </c>
      <c r="M66">
        <v>4.8424959311520341E-2</v>
      </c>
      <c r="N66">
        <v>1.1584214898870433</v>
      </c>
      <c r="O66">
        <v>8.154846775708581E-2</v>
      </c>
      <c r="P66">
        <v>5.4755443512006716E-2</v>
      </c>
    </row>
    <row r="67" spans="1:16">
      <c r="A67" t="s">
        <v>54</v>
      </c>
      <c r="B67" t="s">
        <v>37</v>
      </c>
      <c r="C67" t="s">
        <v>38</v>
      </c>
      <c r="D67" t="s">
        <v>39</v>
      </c>
      <c r="E67" s="42">
        <v>6.9710000000000001</v>
      </c>
      <c r="F67">
        <v>0.94676845831831602</v>
      </c>
      <c r="G67">
        <v>0.55296395633131912</v>
      </c>
      <c r="H67">
        <v>3.1265540621164767E-2</v>
      </c>
      <c r="I67">
        <v>2.4946572018039844E-2</v>
      </c>
      <c r="J67">
        <v>0.37649647552021043</v>
      </c>
      <c r="K67">
        <v>0.21090405416477193</v>
      </c>
      <c r="L67">
        <v>1.0477354929978318</v>
      </c>
      <c r="M67">
        <v>6.5422321780185241E-2</v>
      </c>
      <c r="N67">
        <v>0.88771897694026225</v>
      </c>
      <c r="O67">
        <v>6.8471031822337394E-2</v>
      </c>
      <c r="P67">
        <v>6.5637772571452077E-2</v>
      </c>
    </row>
    <row r="68" spans="1:16">
      <c r="A68" t="s">
        <v>57</v>
      </c>
      <c r="B68" t="s">
        <v>37</v>
      </c>
      <c r="C68" t="s">
        <v>38</v>
      </c>
      <c r="D68" t="s">
        <v>39</v>
      </c>
      <c r="E68" s="42">
        <v>7.0750000000000002</v>
      </c>
      <c r="F68">
        <v>0.60925148054532496</v>
      </c>
      <c r="G68">
        <v>0.82353520330324737</v>
      </c>
      <c r="H68">
        <v>2.2574101554584568E-2</v>
      </c>
      <c r="I68">
        <v>1.1483674422892517E-2</v>
      </c>
      <c r="J68">
        <v>0.497593116461581</v>
      </c>
      <c r="K68">
        <v>0.20124369338985804</v>
      </c>
      <c r="L68">
        <v>2.0793018590234023</v>
      </c>
      <c r="M68">
        <v>6.6221855338692029E-2</v>
      </c>
      <c r="N68">
        <v>1.7388640797631185</v>
      </c>
      <c r="O68">
        <v>6.3919129576997524E-2</v>
      </c>
      <c r="P68">
        <v>0.10708133548064158</v>
      </c>
    </row>
    <row r="69" spans="1:16">
      <c r="A69" t="s">
        <v>60</v>
      </c>
      <c r="B69" t="s">
        <v>37</v>
      </c>
      <c r="C69" t="s">
        <v>38</v>
      </c>
      <c r="D69" t="s">
        <v>39</v>
      </c>
      <c r="E69" s="42">
        <v>6.8849999999999998</v>
      </c>
      <c r="F69">
        <v>0.41807418597455542</v>
      </c>
      <c r="G69">
        <v>0.46704463413598329</v>
      </c>
      <c r="H69">
        <v>3.8144093246830442E-2</v>
      </c>
      <c r="I69">
        <v>2.1205190392925812E-2</v>
      </c>
      <c r="J69">
        <v>0.38557418213240108</v>
      </c>
      <c r="K69">
        <v>0.15389242987615076</v>
      </c>
      <c r="L69">
        <v>1.2027954900090005</v>
      </c>
      <c r="M69">
        <v>7.904926769685075E-2</v>
      </c>
      <c r="N69">
        <v>0.94906437707507763</v>
      </c>
      <c r="O69">
        <v>7.4898355525768762E-2</v>
      </c>
      <c r="P69">
        <v>5.2030634197740726E-2</v>
      </c>
    </row>
    <row r="70" spans="1:16">
      <c r="A70" t="s">
        <v>63</v>
      </c>
      <c r="B70" t="s">
        <v>37</v>
      </c>
      <c r="C70" t="s">
        <v>38</v>
      </c>
      <c r="D70" t="s">
        <v>39</v>
      </c>
      <c r="E70" s="42">
        <v>6.5359999999999996</v>
      </c>
      <c r="F70">
        <v>0.90030060120240485</v>
      </c>
      <c r="G70">
        <v>1.0182865731462927</v>
      </c>
      <c r="H70">
        <v>2.8308142078294921E-2</v>
      </c>
      <c r="I70">
        <v>1.1672112862367284E-2</v>
      </c>
      <c r="J70">
        <v>0.7423874324426657</v>
      </c>
      <c r="K70">
        <v>0.2096550756869564</v>
      </c>
      <c r="L70">
        <v>1.7041515789438053</v>
      </c>
      <c r="M70">
        <v>9.8224499541468183E-2</v>
      </c>
      <c r="N70">
        <v>2.1301610934660418</v>
      </c>
      <c r="O70">
        <v>4.8545833435591226E-2</v>
      </c>
      <c r="P70">
        <v>0.10475729916301804</v>
      </c>
    </row>
    <row r="71" spans="1:16">
      <c r="A71" t="s">
        <v>66</v>
      </c>
      <c r="B71" t="s">
        <v>37</v>
      </c>
      <c r="C71" t="s">
        <v>38</v>
      </c>
      <c r="D71" t="s">
        <v>39</v>
      </c>
      <c r="E71" s="42">
        <v>6.5259999999999998</v>
      </c>
      <c r="F71">
        <v>0.72479108273747905</v>
      </c>
      <c r="G71">
        <v>0.71757596788669864</v>
      </c>
      <c r="H71">
        <v>2.1973737993333225E-2</v>
      </c>
      <c r="I71">
        <v>4.293667472235062E-3</v>
      </c>
      <c r="J71">
        <v>0.44688944056469543</v>
      </c>
      <c r="K71">
        <v>0.15651565043821417</v>
      </c>
      <c r="L71">
        <v>1.5658604054031997</v>
      </c>
      <c r="M71">
        <v>5.0241092976372657E-2</v>
      </c>
      <c r="N71">
        <v>1.3916209617826336</v>
      </c>
      <c r="O71">
        <v>0.14309443748266529</v>
      </c>
      <c r="P71">
        <v>6.9228164341735107E-2</v>
      </c>
    </row>
    <row r="72" spans="1:16">
      <c r="A72" t="s">
        <v>69</v>
      </c>
      <c r="B72" t="s">
        <v>37</v>
      </c>
      <c r="C72" t="s">
        <v>38</v>
      </c>
      <c r="D72" t="s">
        <v>39</v>
      </c>
      <c r="E72" s="42">
        <v>6.3369999999999997</v>
      </c>
      <c r="F72">
        <v>1.2154180327868855</v>
      </c>
      <c r="G72">
        <v>0.74165573770491822</v>
      </c>
      <c r="H72">
        <v>3.2984510378292649E-2</v>
      </c>
      <c r="I72">
        <v>2.6460465729043446E-3</v>
      </c>
      <c r="J72">
        <v>0.63430978192360399</v>
      </c>
      <c r="K72">
        <v>0.12506677074142408</v>
      </c>
      <c r="L72">
        <v>1.4126430041385389</v>
      </c>
      <c r="M72">
        <v>6.876933200847539E-2</v>
      </c>
      <c r="N72">
        <v>1.1640320760484291</v>
      </c>
      <c r="O72">
        <v>1.2232324481797412E-2</v>
      </c>
      <c r="P72">
        <v>5.9142893509602161E-2</v>
      </c>
    </row>
    <row r="73" spans="1:16">
      <c r="A73" t="s">
        <v>72</v>
      </c>
      <c r="B73" t="s">
        <v>37</v>
      </c>
      <c r="C73" t="s">
        <v>38</v>
      </c>
      <c r="D73" t="s">
        <v>39</v>
      </c>
      <c r="E73" s="42">
        <v>6.9729999999999999</v>
      </c>
      <c r="F73">
        <v>0.61654812719838226</v>
      </c>
      <c r="G73">
        <v>0.61593020591277137</v>
      </c>
      <c r="H73">
        <v>3.5280127038781299E-2</v>
      </c>
      <c r="I73">
        <v>2.9158132580269801E-2</v>
      </c>
      <c r="J73">
        <v>0.54897342428806539</v>
      </c>
      <c r="K73">
        <v>0.1296809090895886</v>
      </c>
      <c r="L73">
        <v>1.9138504333282833</v>
      </c>
      <c r="M73">
        <v>7.3982482197722063E-2</v>
      </c>
      <c r="N73">
        <v>1.218212260694052</v>
      </c>
      <c r="O73">
        <v>5.2022043200035263E-2</v>
      </c>
      <c r="P73">
        <v>8.0887439215704515E-2</v>
      </c>
    </row>
    <row r="74" spans="1:16">
      <c r="A74" t="s">
        <v>75</v>
      </c>
      <c r="B74" t="s">
        <v>37</v>
      </c>
      <c r="C74" t="s">
        <v>38</v>
      </c>
      <c r="D74" t="s">
        <v>39</v>
      </c>
      <c r="E74" s="42">
        <v>6.8760000000000003</v>
      </c>
      <c r="F74">
        <v>0.67784303804551826</v>
      </c>
      <c r="G74">
        <v>0.90336480282409326</v>
      </c>
      <c r="H74">
        <v>3.0804512235262704E-2</v>
      </c>
      <c r="I74">
        <v>1.4184910952790919E-2</v>
      </c>
      <c r="J74">
        <v>0.71536616263170871</v>
      </c>
      <c r="K74">
        <v>0.11757419370013301</v>
      </c>
      <c r="L74">
        <v>1.3028041896628582</v>
      </c>
      <c r="M74">
        <v>6.0403651457685704E-2</v>
      </c>
      <c r="N74">
        <v>1.9319613072315471</v>
      </c>
      <c r="O74">
        <v>0.11447893951341223</v>
      </c>
      <c r="P74">
        <v>7.3922754402821797E-2</v>
      </c>
    </row>
    <row r="75" spans="1:16">
      <c r="A75" t="s">
        <v>78</v>
      </c>
      <c r="B75" t="s">
        <v>37</v>
      </c>
      <c r="C75" t="s">
        <v>38</v>
      </c>
      <c r="D75" t="s">
        <v>39</v>
      </c>
      <c r="E75" s="42">
        <v>7.0039999999999996</v>
      </c>
      <c r="F75">
        <v>0.40989217075832346</v>
      </c>
      <c r="G75">
        <v>0.92697240150789562</v>
      </c>
      <c r="H75">
        <v>1.7708734279159893E-2</v>
      </c>
      <c r="I75">
        <v>1.3088922502606916E-2</v>
      </c>
      <c r="J75">
        <v>0.40109700260517395</v>
      </c>
      <c r="K75">
        <v>6.4335144378910775E-2</v>
      </c>
      <c r="L75">
        <v>2.0199789231710681</v>
      </c>
      <c r="M75">
        <v>3.9418985300888811E-2</v>
      </c>
      <c r="N75">
        <v>1.1203219935539379</v>
      </c>
      <c r="O75">
        <v>3.2066365679030914E-2</v>
      </c>
      <c r="P75">
        <v>5.0812950740092011E-2</v>
      </c>
    </row>
    <row r="76" spans="1:16">
      <c r="A76" t="s">
        <v>81</v>
      </c>
      <c r="B76" t="s">
        <v>37</v>
      </c>
      <c r="C76" t="s">
        <v>38</v>
      </c>
      <c r="D76" t="s">
        <v>39</v>
      </c>
      <c r="E76" s="42">
        <v>7.0659999999999998</v>
      </c>
      <c r="F76">
        <v>1.5930099783114329</v>
      </c>
      <c r="G76">
        <v>1.309099870496971</v>
      </c>
      <c r="H76">
        <v>2.11351980594464E-2</v>
      </c>
      <c r="I76">
        <v>2.6176036441129132E-3</v>
      </c>
      <c r="J76">
        <v>0.74608769219056814</v>
      </c>
      <c r="K76">
        <v>0.24199869140769428</v>
      </c>
      <c r="L76">
        <v>4.538146187022968</v>
      </c>
      <c r="M76">
        <v>4.3566986921239316E-2</v>
      </c>
      <c r="N76">
        <v>2.6221278283699272</v>
      </c>
      <c r="O76">
        <v>4.5231106416608075E-2</v>
      </c>
      <c r="P76">
        <v>0.14451208731854007</v>
      </c>
    </row>
    <row r="77" spans="1:16">
      <c r="A77" t="s">
        <v>84</v>
      </c>
      <c r="B77" t="s">
        <v>37</v>
      </c>
      <c r="C77" t="s">
        <v>38</v>
      </c>
      <c r="D77" t="s">
        <v>39</v>
      </c>
      <c r="E77" s="42">
        <v>6.63</v>
      </c>
      <c r="F77">
        <v>1.2403535074567971</v>
      </c>
      <c r="G77">
        <v>1.7461006338935783</v>
      </c>
      <c r="H77">
        <v>0.1231725035602939</v>
      </c>
      <c r="I77">
        <v>4.4644081283964958E-2</v>
      </c>
      <c r="J77">
        <v>0.7558218909218517</v>
      </c>
      <c r="K77">
        <v>0.33156611348697457</v>
      </c>
      <c r="L77">
        <v>2.9158980748372954</v>
      </c>
      <c r="M77">
        <v>0.20537122979347835</v>
      </c>
      <c r="N77">
        <v>3.8054441065347508</v>
      </c>
      <c r="O77">
        <v>3.5219500386516688E-2</v>
      </c>
      <c r="P77">
        <v>0.18388576866174888</v>
      </c>
    </row>
    <row r="78" spans="1:16">
      <c r="A78" t="s">
        <v>87</v>
      </c>
      <c r="B78" t="s">
        <v>37</v>
      </c>
      <c r="C78" t="s">
        <v>38</v>
      </c>
      <c r="D78" t="s">
        <v>39</v>
      </c>
      <c r="E78" s="42">
        <v>6.6660000000000004</v>
      </c>
      <c r="F78">
        <v>1.0207632032720648</v>
      </c>
      <c r="G78">
        <v>1.2213284972057135</v>
      </c>
      <c r="H78">
        <v>6.295166842284021E-2</v>
      </c>
      <c r="I78">
        <v>2.3308658646147583E-2</v>
      </c>
      <c r="J78">
        <v>0.71441374626276588</v>
      </c>
      <c r="K78">
        <v>0.23036066148714274</v>
      </c>
      <c r="L78">
        <v>1.9151046380088972</v>
      </c>
      <c r="M78">
        <v>0.12501952281955583</v>
      </c>
      <c r="N78">
        <v>2.5210337135172294</v>
      </c>
      <c r="O78">
        <v>2.7453403241980746E-2</v>
      </c>
      <c r="P78">
        <v>0.12125143397913572</v>
      </c>
    </row>
    <row r="79" spans="1:16">
      <c r="A79" t="s">
        <v>163</v>
      </c>
      <c r="B79" t="s">
        <v>37</v>
      </c>
      <c r="C79" t="s">
        <v>164</v>
      </c>
      <c r="D79" t="s">
        <v>165</v>
      </c>
      <c r="E79" s="42">
        <v>6.6539999999999999</v>
      </c>
      <c r="F79">
        <v>1.1911506946918418</v>
      </c>
      <c r="G79">
        <v>1.6628143925899537</v>
      </c>
      <c r="H79">
        <v>2.0122112609903813E-2</v>
      </c>
      <c r="I79">
        <v>4.9072073929042385E-2</v>
      </c>
      <c r="J79">
        <v>0.90025447096544353</v>
      </c>
      <c r="K79">
        <v>0.37673467292564033</v>
      </c>
      <c r="L79">
        <v>1.8938942765607003</v>
      </c>
      <c r="M79">
        <v>5.9765901094628211E-2</v>
      </c>
      <c r="N79">
        <v>3.9570644519245328</v>
      </c>
      <c r="O79">
        <v>0.89365970620173496</v>
      </c>
      <c r="P79">
        <v>0.8851221779747841</v>
      </c>
    </row>
    <row r="80" spans="1:16">
      <c r="A80" t="s">
        <v>168</v>
      </c>
      <c r="B80" t="s">
        <v>37</v>
      </c>
      <c r="C80" t="s">
        <v>164</v>
      </c>
      <c r="D80" t="s">
        <v>165</v>
      </c>
      <c r="E80" s="42">
        <v>6.3049999999999997</v>
      </c>
      <c r="F80">
        <v>1.1528452191814538</v>
      </c>
      <c r="G80">
        <v>1.4829413651383256</v>
      </c>
      <c r="H80">
        <v>1.7984780600371446E-2</v>
      </c>
      <c r="I80">
        <v>5.0696556279954355E-2</v>
      </c>
      <c r="J80">
        <v>0.67715425123259232</v>
      </c>
      <c r="K80">
        <v>0.33772271893052869</v>
      </c>
      <c r="L80">
        <v>2.2665366089358194</v>
      </c>
      <c r="M80">
        <v>6.36499030193277E-2</v>
      </c>
      <c r="N80">
        <v>3.2872582870855314</v>
      </c>
      <c r="O80">
        <v>0.72778920754905818</v>
      </c>
      <c r="P80">
        <v>1.090052006819644</v>
      </c>
    </row>
    <row r="81" spans="1:16">
      <c r="A81" t="s">
        <v>171</v>
      </c>
      <c r="B81" t="s">
        <v>37</v>
      </c>
      <c r="C81" t="s">
        <v>164</v>
      </c>
      <c r="D81" t="s">
        <v>165</v>
      </c>
      <c r="E81" s="42">
        <v>6.6390000000000002</v>
      </c>
      <c r="F81">
        <v>1.1028660427068016</v>
      </c>
      <c r="G81">
        <v>1.503311451070581</v>
      </c>
      <c r="H81">
        <v>1.3652598361013664E-2</v>
      </c>
      <c r="I81">
        <v>5.283761148528144E-2</v>
      </c>
      <c r="J81">
        <v>0.67363293620180187</v>
      </c>
      <c r="K81">
        <v>0.30494926420284996</v>
      </c>
      <c r="L81">
        <v>1.8277875163382988</v>
      </c>
      <c r="M81">
        <v>6.2770276159017355E-2</v>
      </c>
      <c r="N81">
        <v>3.371790746385491</v>
      </c>
      <c r="O81">
        <v>0.4982026997447519</v>
      </c>
      <c r="P81">
        <v>0.64800743820958684</v>
      </c>
    </row>
    <row r="82" spans="1:16">
      <c r="A82" t="s">
        <v>173</v>
      </c>
      <c r="B82" t="s">
        <v>37</v>
      </c>
      <c r="C82" t="s">
        <v>164</v>
      </c>
      <c r="D82" t="s">
        <v>165</v>
      </c>
      <c r="E82" s="42">
        <v>7.1340000000000003</v>
      </c>
      <c r="F82">
        <v>0.60611276686332938</v>
      </c>
      <c r="G82">
        <v>0.76724043549662413</v>
      </c>
      <c r="H82">
        <v>1.449691425886503E-2</v>
      </c>
      <c r="I82">
        <v>3.3671634405436468E-2</v>
      </c>
      <c r="J82">
        <v>0.73235063962046099</v>
      </c>
      <c r="K82">
        <v>0.1757761330819293</v>
      </c>
      <c r="L82">
        <v>4.0262786387689307</v>
      </c>
      <c r="M82">
        <v>5.4311075642686599E-2</v>
      </c>
      <c r="N82">
        <v>2.0614587887297269</v>
      </c>
      <c r="O82">
        <v>0.3084391385017996</v>
      </c>
      <c r="P82">
        <v>8.1283536542417989E-2</v>
      </c>
    </row>
    <row r="83" spans="1:16">
      <c r="A83" t="s">
        <v>176</v>
      </c>
      <c r="B83" t="s">
        <v>37</v>
      </c>
      <c r="C83" t="s">
        <v>164</v>
      </c>
      <c r="D83" t="s">
        <v>165</v>
      </c>
      <c r="E83" s="42">
        <v>7.1529999999999996</v>
      </c>
      <c r="F83">
        <v>0.71909320809248567</v>
      </c>
      <c r="G83">
        <v>0.76193280346820813</v>
      </c>
      <c r="H83">
        <v>1.1552214028179192E-2</v>
      </c>
      <c r="I83">
        <v>2.5877803260871437E-2</v>
      </c>
      <c r="J83">
        <v>0.55681896278901744</v>
      </c>
      <c r="K83">
        <v>0.14792077236417145</v>
      </c>
      <c r="L83">
        <v>3.5993977783904607</v>
      </c>
      <c r="M83">
        <v>2.5575384124057035E-2</v>
      </c>
      <c r="N83">
        <v>1.4951190293785874</v>
      </c>
      <c r="O83">
        <v>0.25674107818084146</v>
      </c>
      <c r="P83">
        <v>8.8913116633609943E-2</v>
      </c>
    </row>
    <row r="84" spans="1:16">
      <c r="A84" t="s">
        <v>179</v>
      </c>
      <c r="B84" t="s">
        <v>37</v>
      </c>
      <c r="C84" t="s">
        <v>164</v>
      </c>
      <c r="D84" t="s">
        <v>165</v>
      </c>
      <c r="E84" s="42">
        <v>7.0369999999999999</v>
      </c>
      <c r="F84">
        <v>0.56926735878103651</v>
      </c>
      <c r="G84">
        <v>0.69559619711595377</v>
      </c>
      <c r="H84">
        <v>9.8795905842462492E-3</v>
      </c>
      <c r="I84">
        <v>2.7453384144134712E-2</v>
      </c>
      <c r="J84">
        <v>0.55037488070193497</v>
      </c>
      <c r="K84">
        <v>0.15725602560896024</v>
      </c>
      <c r="L84">
        <v>2.9816962729465137</v>
      </c>
      <c r="M84">
        <v>2.7930546845945314E-2</v>
      </c>
      <c r="N84">
        <v>1.4118141643407154</v>
      </c>
      <c r="O84">
        <v>0.36191204360173185</v>
      </c>
      <c r="P84">
        <v>9.2133640691613852E-2</v>
      </c>
    </row>
    <row r="85" spans="1:16">
      <c r="A85" t="s">
        <v>181</v>
      </c>
      <c r="B85" t="s">
        <v>37</v>
      </c>
      <c r="C85" t="s">
        <v>164</v>
      </c>
      <c r="D85" t="s">
        <v>165</v>
      </c>
      <c r="E85" s="42">
        <v>8.1910000000000007</v>
      </c>
      <c r="F85">
        <v>0.49197223654772715</v>
      </c>
      <c r="G85">
        <v>0.44334308133002892</v>
      </c>
      <c r="H85">
        <v>9.1918422307427326E-3</v>
      </c>
      <c r="I85">
        <v>4.5923492925346622E-3</v>
      </c>
      <c r="J85">
        <v>0.60221983717662619</v>
      </c>
      <c r="K85">
        <v>0.16306345591466911</v>
      </c>
      <c r="L85">
        <v>2.6084666321193963</v>
      </c>
      <c r="M85">
        <v>3.5560463849255979E-2</v>
      </c>
      <c r="N85">
        <v>0.8308402661540889</v>
      </c>
      <c r="O85">
        <v>0.24999549682322203</v>
      </c>
      <c r="P85">
        <v>8.2981512072239236E-2</v>
      </c>
    </row>
    <row r="86" spans="1:16">
      <c r="A86" t="s">
        <v>184</v>
      </c>
      <c r="B86" t="s">
        <v>37</v>
      </c>
      <c r="C86" t="s">
        <v>164</v>
      </c>
      <c r="D86" t="s">
        <v>165</v>
      </c>
      <c r="E86" s="42">
        <v>8.0370000000000008</v>
      </c>
      <c r="F86">
        <v>0.63612656514382393</v>
      </c>
      <c r="G86">
        <v>0.73067681895093051</v>
      </c>
      <c r="H86">
        <v>1.2110352827250417E-2</v>
      </c>
      <c r="I86">
        <v>2.4897061713473143E-3</v>
      </c>
      <c r="J86">
        <v>0.63524929398335117</v>
      </c>
      <c r="K86">
        <v>0.20758825250119131</v>
      </c>
      <c r="L86">
        <v>2.8375380019873724</v>
      </c>
      <c r="M86">
        <v>3.6562091796348048E-2</v>
      </c>
      <c r="N86">
        <v>0.8265253656177346</v>
      </c>
      <c r="O86">
        <v>0.25762963494499991</v>
      </c>
      <c r="P86">
        <v>0.13089833184312077</v>
      </c>
    </row>
    <row r="87" spans="1:16">
      <c r="A87" t="s">
        <v>186</v>
      </c>
      <c r="B87" t="s">
        <v>37</v>
      </c>
      <c r="C87" t="s">
        <v>164</v>
      </c>
      <c r="D87" t="s">
        <v>165</v>
      </c>
      <c r="E87" s="42">
        <v>8.3569999999999993</v>
      </c>
      <c r="F87">
        <v>0.60570285142571301</v>
      </c>
      <c r="G87">
        <v>0.54879439719859946</v>
      </c>
      <c r="H87">
        <v>8.4880167785137389E-3</v>
      </c>
      <c r="I87">
        <v>1.6628999296028561E-3</v>
      </c>
      <c r="J87">
        <v>0.58260057225444728</v>
      </c>
      <c r="K87">
        <v>0.18846943369122149</v>
      </c>
      <c r="L87">
        <v>2.4402026563084451</v>
      </c>
      <c r="M87">
        <v>3.0662692656185743E-2</v>
      </c>
      <c r="N87">
        <v>0.60307566278636537</v>
      </c>
      <c r="O87">
        <v>0.13954576573247909</v>
      </c>
      <c r="P87">
        <v>6.0800513338815629E-2</v>
      </c>
    </row>
    <row r="88" spans="1:16">
      <c r="A88" t="s">
        <v>189</v>
      </c>
      <c r="B88" t="s">
        <v>37</v>
      </c>
      <c r="C88" t="s">
        <v>164</v>
      </c>
      <c r="D88" t="s">
        <v>165</v>
      </c>
      <c r="E88" s="42">
        <v>6.8259999999999996</v>
      </c>
      <c r="F88">
        <v>0.60593514787597724</v>
      </c>
      <c r="G88">
        <v>2.1760511934185711</v>
      </c>
      <c r="H88">
        <v>3.088099789499045E-2</v>
      </c>
      <c r="I88">
        <v>2.6682635717290598E-2</v>
      </c>
      <c r="J88">
        <v>0.7329696996603996</v>
      </c>
      <c r="K88">
        <v>0.26811085785867717</v>
      </c>
      <c r="L88">
        <v>2.2068694740109556</v>
      </c>
      <c r="M88">
        <v>4.667188156277971E-2</v>
      </c>
      <c r="N88">
        <v>4.1726172558255605</v>
      </c>
      <c r="O88">
        <v>3.4015947098114228</v>
      </c>
      <c r="P88">
        <v>0.33195964223182495</v>
      </c>
    </row>
    <row r="89" spans="1:16">
      <c r="A89" t="s">
        <v>191</v>
      </c>
      <c r="B89" t="s">
        <v>37</v>
      </c>
      <c r="C89" t="s">
        <v>164</v>
      </c>
      <c r="D89" t="s">
        <v>165</v>
      </c>
      <c r="E89" s="42">
        <v>6.907</v>
      </c>
      <c r="F89">
        <v>0.73684603495777745</v>
      </c>
      <c r="G89">
        <v>2.9366324953521539</v>
      </c>
      <c r="H89">
        <v>3.4898746140768655E-2</v>
      </c>
      <c r="I89">
        <v>3.5953142090145926E-2</v>
      </c>
      <c r="J89">
        <v>0.72349671143478378</v>
      </c>
      <c r="K89">
        <v>0.32935277891792231</v>
      </c>
      <c r="L89">
        <v>2.1845628500471062</v>
      </c>
      <c r="M89">
        <v>5.4289599870053717E-2</v>
      </c>
      <c r="N89">
        <v>5.0613480148260166</v>
      </c>
      <c r="O89">
        <v>3.2296271106865269</v>
      </c>
      <c r="P89">
        <v>0.33134628860688786</v>
      </c>
    </row>
    <row r="90" spans="1:16">
      <c r="A90" t="s">
        <v>194</v>
      </c>
      <c r="B90" t="s">
        <v>37</v>
      </c>
      <c r="C90" t="s">
        <v>164</v>
      </c>
      <c r="D90" t="s">
        <v>165</v>
      </c>
      <c r="E90" s="42">
        <v>6.8739999999999997</v>
      </c>
      <c r="F90">
        <v>0.68590895999999979</v>
      </c>
      <c r="G90">
        <v>1.7627983999999997</v>
      </c>
      <c r="H90">
        <v>3.3134201119425714E-2</v>
      </c>
      <c r="I90">
        <v>4.4439907226663612E-2</v>
      </c>
      <c r="J90">
        <v>0.59092725052852313</v>
      </c>
      <c r="K90">
        <v>0.30976891455403555</v>
      </c>
      <c r="L90">
        <v>2.2115986241579133</v>
      </c>
      <c r="M90">
        <v>3.9352525138188391E-2</v>
      </c>
      <c r="N90">
        <v>4.3025621722244392</v>
      </c>
      <c r="O90">
        <v>3.3759925097829724</v>
      </c>
      <c r="P90">
        <v>0.38475716827227646</v>
      </c>
    </row>
    <row r="91" spans="1:16">
      <c r="A91" t="s">
        <v>197</v>
      </c>
      <c r="B91" t="s">
        <v>37</v>
      </c>
      <c r="C91" t="s">
        <v>164</v>
      </c>
      <c r="D91" t="s">
        <v>165</v>
      </c>
      <c r="E91" s="42">
        <v>7.14</v>
      </c>
      <c r="F91">
        <v>2.3782500000000004</v>
      </c>
      <c r="G91">
        <v>1.8821250000000005</v>
      </c>
      <c r="H91">
        <v>1.9663013653339789E-2</v>
      </c>
      <c r="I91">
        <v>8.7332953401504133E-3</v>
      </c>
      <c r="J91">
        <v>1.0336516870480938</v>
      </c>
      <c r="K91">
        <v>0.70590902937181566</v>
      </c>
      <c r="L91">
        <v>2.8437281503505174</v>
      </c>
      <c r="M91">
        <v>5.7869716154556869E-2</v>
      </c>
      <c r="N91">
        <v>5.4407423925062259</v>
      </c>
      <c r="O91">
        <v>2.0256613500916192</v>
      </c>
      <c r="P91">
        <v>0.46218274694374306</v>
      </c>
    </row>
    <row r="92" spans="1:16">
      <c r="A92" t="s">
        <v>200</v>
      </c>
      <c r="B92" t="s">
        <v>37</v>
      </c>
      <c r="C92" t="s">
        <v>164</v>
      </c>
      <c r="D92" t="s">
        <v>165</v>
      </c>
      <c r="E92" s="42">
        <v>7.7380000000000004</v>
      </c>
      <c r="F92">
        <v>1.0484108656572189</v>
      </c>
      <c r="G92">
        <v>1.3661463107308904</v>
      </c>
      <c r="H92">
        <v>1.1250384850682322E-2</v>
      </c>
      <c r="I92">
        <v>1.7809984168407826E-3</v>
      </c>
      <c r="J92">
        <v>0.54383997087018754</v>
      </c>
      <c r="K92">
        <v>0.50952616463323575</v>
      </c>
      <c r="L92">
        <v>1.9482456418543466</v>
      </c>
      <c r="M92">
        <v>3.3990875984189144E-2</v>
      </c>
      <c r="N92">
        <v>3.2481079764835594</v>
      </c>
      <c r="O92">
        <v>1.4223853450191548</v>
      </c>
      <c r="P92">
        <v>0.36378081895642328</v>
      </c>
    </row>
    <row r="93" spans="1:16">
      <c r="A93" t="s">
        <v>203</v>
      </c>
      <c r="B93" t="s">
        <v>37</v>
      </c>
      <c r="C93" t="s">
        <v>164</v>
      </c>
      <c r="D93" t="s">
        <v>165</v>
      </c>
      <c r="E93" s="42">
        <v>7.125</v>
      </c>
      <c r="F93">
        <v>1.4843254113345521</v>
      </c>
      <c r="G93">
        <v>1.832413162705667</v>
      </c>
      <c r="H93">
        <v>1.8084780787861333E-2</v>
      </c>
      <c r="I93">
        <v>2.1984651868954702E-3</v>
      </c>
      <c r="J93">
        <v>0.66698794231507408</v>
      </c>
      <c r="K93">
        <v>0.55614446950755614</v>
      </c>
      <c r="L93">
        <v>2.8935676828050139</v>
      </c>
      <c r="M93">
        <v>4.4806673516045531E-2</v>
      </c>
      <c r="N93">
        <v>4.1948776429053476</v>
      </c>
      <c r="O93">
        <v>2.1494989943007043</v>
      </c>
      <c r="P93">
        <v>0.3960566910140324</v>
      </c>
    </row>
    <row r="94" spans="1:16">
      <c r="A94" t="s">
        <v>206</v>
      </c>
      <c r="B94" t="s">
        <v>37</v>
      </c>
      <c r="C94" t="s">
        <v>164</v>
      </c>
      <c r="D94" t="s">
        <v>165</v>
      </c>
      <c r="E94" s="42">
        <v>7.8070000000000004</v>
      </c>
      <c r="F94">
        <v>1.7960343808267774</v>
      </c>
      <c r="G94">
        <v>2.0503342580381103</v>
      </c>
      <c r="H94">
        <v>1.7043146857185283E-2</v>
      </c>
      <c r="I94">
        <v>2.4279026603831397E-3</v>
      </c>
      <c r="J94">
        <v>0.88577415046360919</v>
      </c>
      <c r="K94">
        <v>0.35503448595617737</v>
      </c>
      <c r="L94">
        <v>4.3085557497075317</v>
      </c>
      <c r="M94">
        <v>4.6905618127360091E-2</v>
      </c>
      <c r="N94">
        <v>4.902309251901765</v>
      </c>
      <c r="O94">
        <v>1.5173771987785325</v>
      </c>
      <c r="P94">
        <v>1.056509216515217</v>
      </c>
    </row>
    <row r="95" spans="1:16">
      <c r="A95" t="s">
        <v>209</v>
      </c>
      <c r="B95" t="s">
        <v>37</v>
      </c>
      <c r="C95" t="s">
        <v>164</v>
      </c>
      <c r="D95" t="s">
        <v>165</v>
      </c>
      <c r="E95" s="42">
        <v>7.8840000000000003</v>
      </c>
      <c r="F95">
        <v>1.9992503748125932</v>
      </c>
      <c r="G95">
        <v>2.6341829085457262</v>
      </c>
      <c r="H95">
        <v>2.6153012749402762E-2</v>
      </c>
      <c r="I95">
        <v>3.2568977515952235E-3</v>
      </c>
      <c r="J95">
        <v>1.2647555583884702</v>
      </c>
      <c r="K95">
        <v>0.40471338039318716</v>
      </c>
      <c r="L95">
        <v>3.4012316867708758</v>
      </c>
      <c r="M95">
        <v>6.5660310453969459E-2</v>
      </c>
      <c r="N95">
        <v>5.8439311892272547</v>
      </c>
      <c r="O95">
        <v>1.8908249075811161</v>
      </c>
      <c r="P95">
        <v>0.93597878073616902</v>
      </c>
    </row>
    <row r="96" spans="1:16">
      <c r="A96" t="s">
        <v>212</v>
      </c>
      <c r="B96" t="s">
        <v>37</v>
      </c>
      <c r="C96" t="s">
        <v>164</v>
      </c>
      <c r="D96" t="s">
        <v>165</v>
      </c>
      <c r="E96" s="42">
        <v>7.6959999999999997</v>
      </c>
      <c r="F96">
        <v>2.0626421681946545</v>
      </c>
      <c r="G96">
        <v>2.4851998951791159</v>
      </c>
      <c r="H96">
        <v>1.7500964049686655E-2</v>
      </c>
      <c r="I96">
        <v>2.9014952009100577E-3</v>
      </c>
      <c r="J96">
        <v>1.4372525962339713</v>
      </c>
      <c r="K96">
        <v>0.32822495015287823</v>
      </c>
      <c r="L96">
        <v>4.2375155098707147</v>
      </c>
      <c r="M96">
        <v>5.9475630557605408E-2</v>
      </c>
      <c r="N96">
        <v>5.6956713789933131</v>
      </c>
      <c r="O96">
        <v>1.4163382842212131</v>
      </c>
      <c r="P96">
        <v>0.89236482485095725</v>
      </c>
    </row>
    <row r="97" spans="1:16">
      <c r="A97" t="s">
        <v>377</v>
      </c>
      <c r="B97" t="s">
        <v>143</v>
      </c>
      <c r="C97" t="s">
        <v>38</v>
      </c>
      <c r="D97" t="s">
        <v>39</v>
      </c>
      <c r="E97" s="42">
        <v>6.069</v>
      </c>
      <c r="F97">
        <v>1.7573153982449328</v>
      </c>
      <c r="G97">
        <v>0.98406915423407137</v>
      </c>
      <c r="H97">
        <v>4.3501922032102812E-2</v>
      </c>
      <c r="I97">
        <v>2.5829115774207202E-2</v>
      </c>
      <c r="J97">
        <v>0.66465624353295982</v>
      </c>
      <c r="K97">
        <v>0.11942345925228562</v>
      </c>
      <c r="L97">
        <v>1.2323081427506295</v>
      </c>
      <c r="M97">
        <v>6.1616872446538219E-2</v>
      </c>
      <c r="N97">
        <v>0.79632003559412112</v>
      </c>
      <c r="O97">
        <v>0.10521085766511713</v>
      </c>
      <c r="P97">
        <v>0.34904297296256198</v>
      </c>
    </row>
    <row r="98" spans="1:16">
      <c r="A98" t="s">
        <v>378</v>
      </c>
      <c r="B98" t="s">
        <v>143</v>
      </c>
      <c r="C98" t="s">
        <v>38</v>
      </c>
      <c r="D98" t="s">
        <v>39</v>
      </c>
      <c r="E98" s="42">
        <v>6.5880000000000001</v>
      </c>
      <c r="F98">
        <v>1.4681455207079386</v>
      </c>
      <c r="G98">
        <v>0.59507365170965698</v>
      </c>
      <c r="H98">
        <v>3.684434337517431E-2</v>
      </c>
      <c r="I98">
        <v>3.5276228063850059E-3</v>
      </c>
      <c r="J98">
        <v>0.53552965183181589</v>
      </c>
      <c r="K98">
        <v>0.16737086438181686</v>
      </c>
      <c r="L98">
        <v>0.92618820716799821</v>
      </c>
      <c r="M98">
        <v>3.0931466617094297E-2</v>
      </c>
      <c r="N98">
        <v>0.59262721319983103</v>
      </c>
      <c r="O98">
        <v>0.11238978124626688</v>
      </c>
      <c r="P98">
        <v>0.2376722884961365</v>
      </c>
    </row>
    <row r="99" spans="1:16">
      <c r="A99" t="s">
        <v>354</v>
      </c>
      <c r="B99" t="s">
        <v>143</v>
      </c>
      <c r="C99" t="s">
        <v>38</v>
      </c>
      <c r="D99" t="s">
        <v>39</v>
      </c>
      <c r="E99" s="42">
        <v>6.0570000000000004</v>
      </c>
      <c r="F99">
        <v>1.9822140211945312</v>
      </c>
      <c r="G99">
        <v>0.87392201335229824</v>
      </c>
      <c r="H99">
        <v>2.871356868456653E-2</v>
      </c>
      <c r="I99">
        <v>2.2532249578370901E-2</v>
      </c>
      <c r="J99">
        <v>0.99287698708603955</v>
      </c>
      <c r="K99">
        <v>0.37528520560833523</v>
      </c>
      <c r="L99">
        <v>2.5915228476079957</v>
      </c>
      <c r="M99">
        <v>6.307339360334481E-2</v>
      </c>
      <c r="N99">
        <v>0.76121467073423654</v>
      </c>
      <c r="O99">
        <v>7.0994020499025076E-2</v>
      </c>
      <c r="P99">
        <v>0.46289518420342279</v>
      </c>
    </row>
    <row r="100" spans="1:16">
      <c r="A100" t="s">
        <v>355</v>
      </c>
      <c r="B100" t="s">
        <v>143</v>
      </c>
      <c r="C100" t="s">
        <v>38</v>
      </c>
      <c r="D100" t="s">
        <v>39</v>
      </c>
      <c r="E100" s="42">
        <v>6.2809999999999997</v>
      </c>
      <c r="F100">
        <v>1.3437366492028873</v>
      </c>
      <c r="G100">
        <v>0.93130663548670001</v>
      </c>
      <c r="H100">
        <v>2.0356248633667133E-2</v>
      </c>
      <c r="I100">
        <v>1.7563076694829413E-2</v>
      </c>
      <c r="J100">
        <v>0.48672623312615554</v>
      </c>
      <c r="K100">
        <v>0.21293755580852358</v>
      </c>
      <c r="L100">
        <v>1.9732178227758681</v>
      </c>
      <c r="M100">
        <v>3.0696211528202455E-2</v>
      </c>
      <c r="N100">
        <v>0.6189204529401362</v>
      </c>
      <c r="O100">
        <v>4.6436545623804518E-2</v>
      </c>
      <c r="P100">
        <v>0.306985754248075</v>
      </c>
    </row>
    <row r="101" spans="1:16">
      <c r="A101" t="s">
        <v>379</v>
      </c>
      <c r="B101" t="s">
        <v>143</v>
      </c>
      <c r="C101" t="s">
        <v>38</v>
      </c>
      <c r="D101" t="s">
        <v>39</v>
      </c>
      <c r="E101" s="42">
        <v>6.53</v>
      </c>
      <c r="F101">
        <v>1.9013043603759243</v>
      </c>
      <c r="G101">
        <v>1.0946428323253876</v>
      </c>
      <c r="H101">
        <v>3.8535755053887379E-2</v>
      </c>
      <c r="I101">
        <v>5.3794387279888509E-3</v>
      </c>
      <c r="J101">
        <v>0.93055534887999847</v>
      </c>
      <c r="K101">
        <v>0.1653977721147489</v>
      </c>
      <c r="L101">
        <v>1.0867326067502974</v>
      </c>
      <c r="M101">
        <v>4.4054857948859355E-2</v>
      </c>
      <c r="N101">
        <v>1.2365885050369347</v>
      </c>
      <c r="O101">
        <v>0.12763855394167439</v>
      </c>
      <c r="P101">
        <v>0.32189031697407178</v>
      </c>
    </row>
    <row r="102" spans="1:16">
      <c r="A102" t="s">
        <v>380</v>
      </c>
      <c r="B102" t="s">
        <v>143</v>
      </c>
      <c r="C102" t="s">
        <v>38</v>
      </c>
      <c r="D102" t="s">
        <v>39</v>
      </c>
      <c r="E102" s="42">
        <v>6.391</v>
      </c>
      <c r="F102">
        <v>1.4505252283758183</v>
      </c>
      <c r="G102">
        <v>0.53124405083776005</v>
      </c>
      <c r="H102">
        <v>2.501386585140138E-2</v>
      </c>
      <c r="I102">
        <v>2.8769028330424798E-3</v>
      </c>
      <c r="J102">
        <v>0.48060871964760432</v>
      </c>
      <c r="K102">
        <v>0.16077140271440113</v>
      </c>
      <c r="L102">
        <v>0.79208681399808445</v>
      </c>
      <c r="M102">
        <v>3.5195324512229204E-2</v>
      </c>
      <c r="N102">
        <v>0.57526766752399927</v>
      </c>
      <c r="O102">
        <v>6.3052886112314951E-2</v>
      </c>
      <c r="P102">
        <v>0.26589224400680755</v>
      </c>
    </row>
    <row r="103" spans="1:16">
      <c r="A103" t="s">
        <v>381</v>
      </c>
      <c r="B103" t="s">
        <v>143</v>
      </c>
      <c r="C103" t="s">
        <v>38</v>
      </c>
      <c r="D103" t="s">
        <v>39</v>
      </c>
      <c r="E103" s="42">
        <v>6.4119999999999999</v>
      </c>
      <c r="F103">
        <v>1.3669263414917738</v>
      </c>
      <c r="G103">
        <v>0.59106447299575604</v>
      </c>
      <c r="H103">
        <v>3.0101075576543488E-2</v>
      </c>
      <c r="I103">
        <v>2.8109895468512798E-3</v>
      </c>
      <c r="J103">
        <v>0.41339356480857642</v>
      </c>
      <c r="K103">
        <v>0.17702147633947179</v>
      </c>
      <c r="L103">
        <v>0.76096003807331736</v>
      </c>
      <c r="M103">
        <v>4.4254744103277462E-2</v>
      </c>
      <c r="N103">
        <v>0.68370375985799403</v>
      </c>
      <c r="O103">
        <v>5.4315491977210625E-2</v>
      </c>
      <c r="P103">
        <v>0.27223776248748249</v>
      </c>
    </row>
    <row r="104" spans="1:16">
      <c r="A104" t="s">
        <v>330</v>
      </c>
      <c r="B104" t="s">
        <v>143</v>
      </c>
      <c r="C104" t="s">
        <v>38</v>
      </c>
      <c r="D104" t="s">
        <v>165</v>
      </c>
      <c r="E104" s="42">
        <v>6.4630000000000001</v>
      </c>
      <c r="F104">
        <v>2.0653423389135361</v>
      </c>
      <c r="G104">
        <v>0.81994944302114869</v>
      </c>
      <c r="H104">
        <v>1.2580848078893701E-2</v>
      </c>
      <c r="I104">
        <v>2.9632854728063713E-3</v>
      </c>
      <c r="J104">
        <v>0.47698809373311168</v>
      </c>
      <c r="K104">
        <v>0.14911942522183619</v>
      </c>
      <c r="L104">
        <v>1.3631921603458967</v>
      </c>
      <c r="M104">
        <v>2.6654093383647305E-2</v>
      </c>
      <c r="N104">
        <v>1.3921965142118571</v>
      </c>
      <c r="O104">
        <v>0.54572206709876792</v>
      </c>
      <c r="P104">
        <v>8.0381237052625329E-2</v>
      </c>
    </row>
    <row r="105" spans="1:16">
      <c r="A105" t="s">
        <v>333</v>
      </c>
      <c r="B105" t="s">
        <v>143</v>
      </c>
      <c r="C105" t="s">
        <v>38</v>
      </c>
      <c r="D105" t="s">
        <v>165</v>
      </c>
      <c r="E105" s="42">
        <v>6.1609999999999996</v>
      </c>
      <c r="F105">
        <v>1.5634827380467644</v>
      </c>
      <c r="G105">
        <v>0.76241442980626528</v>
      </c>
      <c r="H105">
        <v>2.0780612090225213E-2</v>
      </c>
      <c r="I105">
        <v>3.7407503050909336E-3</v>
      </c>
      <c r="J105">
        <v>0.68633883517626215</v>
      </c>
      <c r="K105">
        <v>0.24682983954944701</v>
      </c>
      <c r="L105">
        <v>1.6676321197758521</v>
      </c>
      <c r="M105">
        <v>2.9148444679562246E-2</v>
      </c>
      <c r="N105">
        <v>1.6385749860346057</v>
      </c>
      <c r="O105">
        <v>0.87253687694345528</v>
      </c>
      <c r="P105">
        <v>0.10574018393594511</v>
      </c>
    </row>
    <row r="106" spans="1:16">
      <c r="A106" t="s">
        <v>214</v>
      </c>
      <c r="B106" t="s">
        <v>143</v>
      </c>
      <c r="C106" t="s">
        <v>38</v>
      </c>
      <c r="D106" t="s">
        <v>165</v>
      </c>
      <c r="E106" s="42">
        <v>6.4969999999999999</v>
      </c>
      <c r="F106">
        <v>4.473741176470587</v>
      </c>
      <c r="G106">
        <v>1.1147294117647055</v>
      </c>
      <c r="H106">
        <v>5.4568521108902222E-2</v>
      </c>
      <c r="I106">
        <v>3.4649981116635399E-3</v>
      </c>
      <c r="J106">
        <v>0.86699257422632869</v>
      </c>
      <c r="K106">
        <v>0.3001234915633314</v>
      </c>
      <c r="L106">
        <v>2.532286652380535</v>
      </c>
      <c r="M106">
        <v>8.5533807055009736E-2</v>
      </c>
      <c r="N106">
        <v>2.194142332436178</v>
      </c>
      <c r="O106">
        <v>0.80226081582784914</v>
      </c>
      <c r="P106">
        <v>0.16497259542815493</v>
      </c>
    </row>
    <row r="107" spans="1:16">
      <c r="A107" t="s">
        <v>336</v>
      </c>
      <c r="B107" t="s">
        <v>143</v>
      </c>
      <c r="C107" t="s">
        <v>38</v>
      </c>
      <c r="D107" t="s">
        <v>165</v>
      </c>
      <c r="E107" s="42">
        <v>6.6529999999999996</v>
      </c>
      <c r="F107">
        <v>1.1654093713523428</v>
      </c>
      <c r="G107">
        <v>0.56430348507587136</v>
      </c>
      <c r="H107">
        <v>1.563166729608961E-2</v>
      </c>
      <c r="I107">
        <v>2.3548400213031805E-3</v>
      </c>
      <c r="J107">
        <v>0.30846260117160712</v>
      </c>
      <c r="K107">
        <v>0.13214537225927442</v>
      </c>
      <c r="L107">
        <v>1.4189963562539807</v>
      </c>
      <c r="M107">
        <v>2.0127336015579322E-2</v>
      </c>
      <c r="N107">
        <v>1.0155153656753269</v>
      </c>
      <c r="O107">
        <v>0.52798813530591249</v>
      </c>
      <c r="P107">
        <v>6.4729659798472144E-2</v>
      </c>
    </row>
    <row r="108" spans="1:16">
      <c r="A108" t="s">
        <v>216</v>
      </c>
      <c r="B108" t="s">
        <v>143</v>
      </c>
      <c r="C108" t="s">
        <v>38</v>
      </c>
      <c r="D108" t="s">
        <v>165</v>
      </c>
      <c r="E108" s="42">
        <v>6.399</v>
      </c>
      <c r="F108">
        <v>4.0616555493782514</v>
      </c>
      <c r="G108">
        <v>1.1363365424360283</v>
      </c>
      <c r="H108">
        <v>5.4972532846796748E-2</v>
      </c>
      <c r="I108">
        <v>2.632599066567104E-3</v>
      </c>
      <c r="J108">
        <v>0.88042389410532507</v>
      </c>
      <c r="K108">
        <v>0.2621786312559623</v>
      </c>
      <c r="L108">
        <v>2.7420023457678551</v>
      </c>
      <c r="M108">
        <v>7.1821165884234039E-2</v>
      </c>
      <c r="N108">
        <v>2.408660279056257</v>
      </c>
      <c r="O108">
        <v>0.94562138078321234</v>
      </c>
      <c r="P108">
        <v>0.1457419336079607</v>
      </c>
    </row>
    <row r="109" spans="1:16">
      <c r="A109" t="s">
        <v>339</v>
      </c>
      <c r="B109" t="s">
        <v>143</v>
      </c>
      <c r="C109" t="s">
        <v>38</v>
      </c>
      <c r="D109" t="s">
        <v>165</v>
      </c>
      <c r="E109" s="42">
        <v>6.8540000000000001</v>
      </c>
      <c r="F109">
        <v>1.8113986485018356</v>
      </c>
      <c r="G109">
        <v>1.184864089694283</v>
      </c>
      <c r="H109">
        <v>1.9771729105048094E-2</v>
      </c>
      <c r="I109">
        <v>3.750468769457217E-3</v>
      </c>
      <c r="J109">
        <v>0.95223005259722493</v>
      </c>
      <c r="K109">
        <v>0.34982463099297018</v>
      </c>
      <c r="L109">
        <v>2.1449411826606246</v>
      </c>
      <c r="M109">
        <v>4.9287710391978823E-2</v>
      </c>
      <c r="N109">
        <v>2.3508425585591111</v>
      </c>
      <c r="O109">
        <v>1.6902045285886684</v>
      </c>
      <c r="P109">
        <v>9.674665937829284E-2</v>
      </c>
    </row>
    <row r="110" spans="1:16">
      <c r="A110" t="s">
        <v>341</v>
      </c>
      <c r="B110" t="s">
        <v>143</v>
      </c>
      <c r="C110" t="s">
        <v>38</v>
      </c>
      <c r="D110" t="s">
        <v>165</v>
      </c>
      <c r="E110" s="42">
        <v>6.18</v>
      </c>
      <c r="F110">
        <v>2.3564605263157885</v>
      </c>
      <c r="G110">
        <v>0.75385953947368378</v>
      </c>
      <c r="H110">
        <v>3.6068916310853252E-2</v>
      </c>
      <c r="I110">
        <v>4.6318485798541404E-3</v>
      </c>
      <c r="J110">
        <v>0.83899240760713878</v>
      </c>
      <c r="K110">
        <v>0.21570556138027389</v>
      </c>
      <c r="L110">
        <v>2.042722211446832</v>
      </c>
      <c r="M110">
        <v>5.4681315325408167E-2</v>
      </c>
      <c r="N110">
        <v>1.8453146793087649</v>
      </c>
      <c r="O110">
        <v>1.2858278507829581</v>
      </c>
      <c r="P110">
        <v>0.14186285003211241</v>
      </c>
    </row>
  </sheetData>
  <sortState xmlns:xlrd2="http://schemas.microsoft.com/office/spreadsheetml/2017/richdata2" ref="A2:P110">
    <sortCondition ref="A1:A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for R_mgL</vt:lpstr>
      <vt:lpstr>Data for R_mgg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McPherson, Isabel - FS, CO</dc:creator>
  <cp:lastModifiedBy>Carter,Trevor</cp:lastModifiedBy>
  <dcterms:created xsi:type="dcterms:W3CDTF">2025-07-31T15:17:40Z</dcterms:created>
  <dcterms:modified xsi:type="dcterms:W3CDTF">2025-12-09T17:23:55Z</dcterms:modified>
</cp:coreProperties>
</file>